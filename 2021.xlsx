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rchana\Desktop\cloudwater\cloudwater data\"/>
    </mc:Choice>
  </mc:AlternateContent>
  <xr:revisionPtr revIDLastSave="0" documentId="13_ncr:1_{3CF37878-2C40-4CC4-A0E9-B98FC27F4341}" xr6:coauthVersionLast="47" xr6:coauthVersionMax="47" xr10:uidLastSave="{00000000-0000-0000-0000-000000000000}"/>
  <bookViews>
    <workbookView xWindow="-23148" yWindow="564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1" l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</calcChain>
</file>

<file path=xl/sharedStrings.xml><?xml version="1.0" encoding="utf-8"?>
<sst xmlns="http://schemas.openxmlformats.org/spreadsheetml/2006/main" count="21" uniqueCount="21">
  <si>
    <t>ID</t>
  </si>
  <si>
    <t>Pyruvate_eq</t>
  </si>
  <si>
    <t>Na_eq</t>
  </si>
  <si>
    <t>Mg_eq</t>
  </si>
  <si>
    <t>Lactate_eq</t>
  </si>
  <si>
    <t>K_eq</t>
  </si>
  <si>
    <t>Glyoxalate_eq</t>
  </si>
  <si>
    <t>Dump_datetime</t>
  </si>
  <si>
    <t>Cl_eq</t>
  </si>
  <si>
    <t>Acetate_eq</t>
  </si>
  <si>
    <t>Sulfate_eq</t>
  </si>
  <si>
    <t>Oxalate_eq</t>
  </si>
  <si>
    <t>Nitrate_eq</t>
  </si>
  <si>
    <t>Ammonium_eq</t>
  </si>
  <si>
    <t>Formate_eq</t>
  </si>
  <si>
    <t>TOC_um</t>
  </si>
  <si>
    <t>ExcessNH</t>
  </si>
  <si>
    <t>Ca_eq</t>
  </si>
  <si>
    <t>LWC_avg</t>
  </si>
  <si>
    <t>cond</t>
  </si>
  <si>
    <t>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</si>
</sst>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4"/>
  <sheetViews>
    <sheetView tabSelected="1" topLeftCell="B1" workbookViewId="0">
      <pane ySplit="1" topLeftCell="A2" activePane="bottomLeft" state="frozen"/>
      <selection pane="bottomLeft" activeCell="Q1" sqref="Q1"/>
    </sheetView>
  </sheetViews>
  <sheetFormatPr defaultRowHeight="15" x14ac:dyDescent="0.25"/>
  <cols>
    <col min="4" max="4" width="12.28515625" customWidth="1"/>
    <col min="12" max="12" width="13.5703125" customWidth="1"/>
    <col min="13" max="13" width="11.5703125" customWidth="1"/>
    <col min="14" max="14" width="19.5703125" customWidth="1"/>
    <col min="18" max="18" width="11" bestFit="1" customWidth="1"/>
  </cols>
  <sheetData>
    <row r="1" spans="1:21" x14ac:dyDescent="0.25">
      <c r="A1" t="s">
        <v>0</v>
      </c>
      <c r="B1" t="s">
        <v>15</v>
      </c>
      <c r="C1" t="s">
        <v>10</v>
      </c>
      <c r="D1" t="s">
        <v>1</v>
      </c>
      <c r="E1" t="s">
        <v>11</v>
      </c>
      <c r="F1" t="s">
        <v>12</v>
      </c>
      <c r="G1" t="s">
        <v>13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14</v>
      </c>
      <c r="N1" t="s">
        <v>7</v>
      </c>
      <c r="O1" t="s">
        <v>8</v>
      </c>
      <c r="P1" t="s">
        <v>9</v>
      </c>
      <c r="Q1" t="s">
        <v>20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25">
      <c r="A2">
        <v>2115901</v>
      </c>
      <c r="B2">
        <v>814.33333333333303</v>
      </c>
      <c r="C2">
        <v>49.710306702811799</v>
      </c>
      <c r="D2">
        <v>0.20714015999999999</v>
      </c>
      <c r="E2">
        <v>7.0438537999999999</v>
      </c>
      <c r="F2">
        <v>44.480355584800499</v>
      </c>
      <c r="G2">
        <v>99.562059981151904</v>
      </c>
      <c r="H2">
        <v>5.6111840903357102</v>
      </c>
      <c r="I2">
        <v>9.9567990125488599</v>
      </c>
      <c r="J2">
        <v>0.71402109000000002</v>
      </c>
      <c r="K2">
        <v>2.7366918766289001</v>
      </c>
      <c r="L2">
        <v>0.56280553</v>
      </c>
      <c r="M2">
        <v>20.924963000000002</v>
      </c>
      <c r="N2" s="1">
        <v>44355.75</v>
      </c>
      <c r="O2">
        <v>4.9643189574930098</v>
      </c>
      <c r="P2">
        <v>16.614729000000001</v>
      </c>
      <c r="Q2">
        <v>4.8620000000000001</v>
      </c>
      <c r="R2">
        <f>G2-(F2+C2)</f>
        <v>5.3713976935396062</v>
      </c>
      <c r="S2">
        <v>27.1470632267079</v>
      </c>
      <c r="T2">
        <v>0.48168483000000001</v>
      </c>
      <c r="U2">
        <v>24.282</v>
      </c>
    </row>
    <row r="3" spans="1:21" x14ac:dyDescent="0.25">
      <c r="A3">
        <v>2116002</v>
      </c>
      <c r="B3">
        <v>534.5</v>
      </c>
      <c r="C3">
        <v>29.468984213044099</v>
      </c>
      <c r="D3">
        <v>0.20751885</v>
      </c>
      <c r="E3">
        <v>5.4533062000000001</v>
      </c>
      <c r="F3">
        <v>36.980948279894001</v>
      </c>
      <c r="G3">
        <v>81.046621209601398</v>
      </c>
      <c r="H3">
        <v>2.0443849011300599</v>
      </c>
      <c r="I3">
        <v>5.1841184941370102</v>
      </c>
      <c r="K3">
        <v>1.2276748605437999</v>
      </c>
      <c r="L3">
        <v>0.54774261000000002</v>
      </c>
      <c r="M3">
        <v>20.591763</v>
      </c>
      <c r="N3" s="1">
        <v>44356.25</v>
      </c>
      <c r="O3">
        <v>2.3975404056074199</v>
      </c>
      <c r="P3">
        <v>12.465280999999999</v>
      </c>
      <c r="Q3">
        <v>5.0279999999999996</v>
      </c>
      <c r="R3">
        <f t="shared" ref="R3:R66" si="0">G3-(F3+C3)</f>
        <v>14.596688716663294</v>
      </c>
      <c r="S3">
        <v>22.1068915614551</v>
      </c>
      <c r="T3">
        <v>0.74346380999999995</v>
      </c>
      <c r="U3">
        <v>18.451000000000001</v>
      </c>
    </row>
    <row r="4" spans="1:21" x14ac:dyDescent="0.25">
      <c r="A4">
        <v>2116001</v>
      </c>
      <c r="B4">
        <v>494.08333333333297</v>
      </c>
      <c r="C4">
        <v>18.965608887471401</v>
      </c>
      <c r="D4">
        <v>0.20456189</v>
      </c>
      <c r="E4">
        <v>3.8627584000000001</v>
      </c>
      <c r="F4">
        <v>17.659894621231501</v>
      </c>
      <c r="G4">
        <v>47.397305837352398</v>
      </c>
      <c r="H4">
        <v>1.0874387771968399</v>
      </c>
      <c r="I4">
        <v>4.6081053281217796</v>
      </c>
      <c r="K4">
        <v>1.17652174135448</v>
      </c>
      <c r="M4">
        <v>20.43627</v>
      </c>
      <c r="N4" s="1">
        <v>44356.75</v>
      </c>
      <c r="O4">
        <v>1.6641751050686799</v>
      </c>
      <c r="P4">
        <v>10.924056999999999</v>
      </c>
      <c r="Q4">
        <v>5.1139999999999999</v>
      </c>
      <c r="R4">
        <f t="shared" si="0"/>
        <v>10.771802328649493</v>
      </c>
      <c r="S4">
        <v>19.212535555666399</v>
      </c>
      <c r="T4">
        <v>0.53111361999999995</v>
      </c>
      <c r="U4">
        <v>12.603</v>
      </c>
    </row>
    <row r="5" spans="1:21" x14ac:dyDescent="0.25">
      <c r="A5">
        <v>2116502</v>
      </c>
      <c r="B5">
        <v>537.58333333333303</v>
      </c>
      <c r="C5">
        <v>31.318768936373701</v>
      </c>
      <c r="D5">
        <v>0.22946014000000001</v>
      </c>
      <c r="E5">
        <v>7.2710748000000001</v>
      </c>
      <c r="F5">
        <v>43.738478733132297</v>
      </c>
      <c r="G5">
        <v>73.451965186540207</v>
      </c>
      <c r="H5">
        <v>2.3923653098330502</v>
      </c>
      <c r="I5">
        <v>4.4435301378317202</v>
      </c>
      <c r="K5">
        <v>1.2788279797331299</v>
      </c>
      <c r="M5">
        <v>18.225479</v>
      </c>
      <c r="N5" s="1">
        <v>44361.75</v>
      </c>
      <c r="O5">
        <v>3.7514455758327898</v>
      </c>
      <c r="P5">
        <v>12.634645000000001</v>
      </c>
      <c r="Q5">
        <v>4.6550000000000002</v>
      </c>
      <c r="R5">
        <f t="shared" si="0"/>
        <v>-1.6052824829657908</v>
      </c>
      <c r="S5">
        <v>15.0706123060032</v>
      </c>
      <c r="T5">
        <v>0.45938507000000001</v>
      </c>
      <c r="U5">
        <v>21.606000000000002</v>
      </c>
    </row>
    <row r="6" spans="1:21" x14ac:dyDescent="0.25">
      <c r="A6">
        <v>2116603</v>
      </c>
      <c r="B6">
        <v>502.916666666666</v>
      </c>
      <c r="C6">
        <v>23.6219635358528</v>
      </c>
      <c r="D6">
        <v>0.22474416</v>
      </c>
      <c r="E6">
        <v>4.9988637000000002</v>
      </c>
      <c r="F6">
        <v>28.626769819804501</v>
      </c>
      <c r="G6">
        <v>67.908420644159804</v>
      </c>
      <c r="H6">
        <v>0.260985306527242</v>
      </c>
      <c r="I6">
        <v>2.7154906397860499</v>
      </c>
      <c r="K6">
        <v>1.04863894338117</v>
      </c>
      <c r="M6">
        <v>15.789166</v>
      </c>
      <c r="N6" s="1">
        <v>44362.25</v>
      </c>
      <c r="O6">
        <v>1.86161960905988</v>
      </c>
      <c r="P6">
        <v>9.4168357999999994</v>
      </c>
      <c r="Q6">
        <v>4.859</v>
      </c>
      <c r="R6">
        <f t="shared" si="0"/>
        <v>15.659687288502504</v>
      </c>
      <c r="S6">
        <v>13.324018164579</v>
      </c>
      <c r="T6">
        <v>0.49796709</v>
      </c>
      <c r="U6">
        <v>16.826000000000001</v>
      </c>
    </row>
    <row r="7" spans="1:21" x14ac:dyDescent="0.25">
      <c r="A7">
        <v>2116601</v>
      </c>
      <c r="B7">
        <v>223.666666666666</v>
      </c>
      <c r="C7">
        <v>7.0802104927443796</v>
      </c>
      <c r="D7">
        <v>0.37310441999999999</v>
      </c>
      <c r="E7">
        <v>2.0449898000000002</v>
      </c>
      <c r="F7">
        <v>8.0800065801251204</v>
      </c>
      <c r="G7">
        <v>14.357780364765199</v>
      </c>
      <c r="H7">
        <v>-0.47847306196661099</v>
      </c>
      <c r="I7">
        <v>1.3166015223205101</v>
      </c>
      <c r="K7">
        <v>2.5576559594662599E-2</v>
      </c>
      <c r="M7">
        <v>7.5578060000000002</v>
      </c>
      <c r="N7" s="1">
        <v>44362.75</v>
      </c>
      <c r="O7">
        <v>0.50771443883451295</v>
      </c>
      <c r="P7">
        <v>4.5389875999999996</v>
      </c>
      <c r="Q7">
        <v>5.1689999999999996</v>
      </c>
      <c r="R7">
        <f t="shared" si="0"/>
        <v>-0.80243670810430068</v>
      </c>
      <c r="S7">
        <v>7.6850142222665703</v>
      </c>
      <c r="T7">
        <v>0.52726477000000005</v>
      </c>
      <c r="U7">
        <v>5.7770000000000001</v>
      </c>
    </row>
    <row r="8" spans="1:21" x14ac:dyDescent="0.25">
      <c r="A8">
        <v>2116702</v>
      </c>
      <c r="B8">
        <v>923.33333333333303</v>
      </c>
      <c r="C8">
        <v>12.3106362621591</v>
      </c>
      <c r="D8">
        <v>0.27162501</v>
      </c>
      <c r="E8">
        <v>4.9988637000000002</v>
      </c>
      <c r="F8">
        <v>18.772709898733801</v>
      </c>
      <c r="G8">
        <v>87.310826542491199</v>
      </c>
      <c r="H8">
        <v>6.4811351120931802</v>
      </c>
      <c r="I8">
        <v>4.5258177329767504</v>
      </c>
      <c r="J8">
        <v>0.62308443000000002</v>
      </c>
      <c r="K8">
        <v>3.0180340321701902</v>
      </c>
      <c r="L8">
        <v>0.62853466999999996</v>
      </c>
      <c r="M8">
        <v>41.094673</v>
      </c>
      <c r="N8" s="1">
        <v>44363.25</v>
      </c>
      <c r="O8">
        <v>5.5284461117535804</v>
      </c>
      <c r="P8">
        <v>19.815731</v>
      </c>
      <c r="Q8">
        <v>5.468</v>
      </c>
      <c r="R8">
        <f t="shared" si="0"/>
        <v>56.227480381598298</v>
      </c>
      <c r="S8">
        <v>19.961075901991101</v>
      </c>
      <c r="T8">
        <v>0.32085004</v>
      </c>
      <c r="U8">
        <v>17.091000000000001</v>
      </c>
    </row>
    <row r="9" spans="1:21" x14ac:dyDescent="0.25">
      <c r="A9">
        <v>2117201</v>
      </c>
      <c r="B9">
        <v>779.08333333333303</v>
      </c>
      <c r="C9">
        <v>77.414553766012801</v>
      </c>
      <c r="D9">
        <v>0.20849301000000001</v>
      </c>
      <c r="E9">
        <v>7.4982958000000002</v>
      </c>
      <c r="F9">
        <v>31.642660499412099</v>
      </c>
      <c r="G9">
        <v>101.280558789289</v>
      </c>
      <c r="H9">
        <v>4.9587208240176004</v>
      </c>
      <c r="I9">
        <v>7.8173215387780299</v>
      </c>
      <c r="K9">
        <v>2.58323251906093</v>
      </c>
      <c r="M9">
        <v>11.296523000000001</v>
      </c>
      <c r="N9" s="1">
        <v>44368.75</v>
      </c>
      <c r="O9">
        <v>3.4975883564155299</v>
      </c>
      <c r="P9">
        <v>10.602262</v>
      </c>
      <c r="Q9">
        <v>4.8540000000000001</v>
      </c>
      <c r="R9">
        <f t="shared" si="0"/>
        <v>-7.7766554761359004</v>
      </c>
      <c r="S9">
        <v>30.989570337841201</v>
      </c>
      <c r="T9">
        <v>0.44144981999999999</v>
      </c>
      <c r="U9">
        <v>25.181000000000001</v>
      </c>
    </row>
    <row r="10" spans="1:21" x14ac:dyDescent="0.25">
      <c r="A10">
        <v>2117302</v>
      </c>
      <c r="B10">
        <v>596.58333333333303</v>
      </c>
      <c r="C10">
        <v>55.408494126401898</v>
      </c>
      <c r="D10">
        <v>0.18603364</v>
      </c>
      <c r="E10">
        <v>6.8166327000000004</v>
      </c>
      <c r="F10">
        <v>36.400349004675398</v>
      </c>
      <c r="G10">
        <v>115.19485559066401</v>
      </c>
      <c r="H10">
        <v>3.04482857615116</v>
      </c>
      <c r="I10">
        <v>4.2789549475416502</v>
      </c>
      <c r="J10">
        <v>0.59838557000000003</v>
      </c>
      <c r="K10">
        <v>3.0691871513595199</v>
      </c>
      <c r="L10">
        <v>0.64085882999999999</v>
      </c>
      <c r="M10">
        <v>9.3962412000000004</v>
      </c>
      <c r="N10" s="1">
        <v>44369.25</v>
      </c>
      <c r="O10">
        <v>2.8206357713028498</v>
      </c>
      <c r="P10">
        <v>6.9101008999999998</v>
      </c>
      <c r="Q10">
        <v>5.3220000000000001</v>
      </c>
      <c r="R10">
        <f t="shared" si="0"/>
        <v>23.386012459586709</v>
      </c>
      <c r="S10">
        <v>15.3700284445331</v>
      </c>
      <c r="T10">
        <v>0.51941298999999996</v>
      </c>
      <c r="U10">
        <v>20.356999999999999</v>
      </c>
    </row>
    <row r="11" spans="1:21" x14ac:dyDescent="0.25">
      <c r="A11">
        <v>2117303</v>
      </c>
      <c r="B11">
        <v>257.25</v>
      </c>
      <c r="C11">
        <v>9.7379471641949706</v>
      </c>
      <c r="D11">
        <v>0.18607493999999999</v>
      </c>
      <c r="E11">
        <v>1.8177687</v>
      </c>
      <c r="F11">
        <v>8.0800065801251204</v>
      </c>
      <c r="G11">
        <v>20.400243915959798</v>
      </c>
      <c r="H11">
        <v>0.39147795979086297</v>
      </c>
      <c r="I11">
        <v>1.64575190290063</v>
      </c>
      <c r="K11">
        <v>0.63941398986656695</v>
      </c>
      <c r="M11">
        <v>1.2195122</v>
      </c>
      <c r="N11" s="1">
        <v>44369.75</v>
      </c>
      <c r="O11">
        <v>0.67695258511268397</v>
      </c>
      <c r="P11">
        <v>5.0809565000000001</v>
      </c>
      <c r="Q11">
        <v>5.1950000000000003</v>
      </c>
      <c r="R11">
        <f t="shared" si="0"/>
        <v>2.5822901716397055</v>
      </c>
      <c r="S11">
        <v>7.5353061530016401</v>
      </c>
      <c r="T11">
        <v>0.50763064999999996</v>
      </c>
      <c r="U11">
        <v>6.657</v>
      </c>
    </row>
    <row r="12" spans="1:21" x14ac:dyDescent="0.25">
      <c r="A12">
        <v>2117404</v>
      </c>
      <c r="B12">
        <v>322.416666666666</v>
      </c>
      <c r="C12">
        <v>12.416945729017099</v>
      </c>
      <c r="D12">
        <v>0.17657587999999999</v>
      </c>
      <c r="E12">
        <v>3.6355374</v>
      </c>
      <c r="F12">
        <v>25.594751382552001</v>
      </c>
      <c r="G12">
        <v>64.415987582460204</v>
      </c>
      <c r="H12">
        <v>1.2614289815483299</v>
      </c>
      <c r="I12">
        <v>4.7726805184118497</v>
      </c>
      <c r="J12">
        <v>0.34915182</v>
      </c>
      <c r="K12">
        <v>0.94633270500251898</v>
      </c>
      <c r="L12">
        <v>0.56006681999999997</v>
      </c>
      <c r="M12">
        <v>18.970189999999999</v>
      </c>
      <c r="N12" s="1">
        <v>44370.25</v>
      </c>
      <c r="O12">
        <v>2.2565086170422801</v>
      </c>
      <c r="P12">
        <v>16.699411000000001</v>
      </c>
      <c r="Q12">
        <v>6.6239999999999997</v>
      </c>
      <c r="R12">
        <f t="shared" si="0"/>
        <v>26.404290470891105</v>
      </c>
      <c r="S12">
        <v>58.785368531363801</v>
      </c>
      <c r="T12">
        <v>0.41139415000000001</v>
      </c>
      <c r="U12">
        <v>15.34</v>
      </c>
    </row>
    <row r="13" spans="1:21" x14ac:dyDescent="0.25">
      <c r="A13">
        <v>2117703</v>
      </c>
      <c r="B13">
        <v>620.16666666666595</v>
      </c>
      <c r="C13">
        <v>32.403125498325601</v>
      </c>
      <c r="D13">
        <v>0.17719378</v>
      </c>
      <c r="E13">
        <v>7.2710748000000001</v>
      </c>
      <c r="F13">
        <v>33.384458325067797</v>
      </c>
      <c r="G13">
        <v>69.294306779754905</v>
      </c>
      <c r="H13">
        <v>13.0492653263621</v>
      </c>
      <c r="I13">
        <v>17.609545361036801</v>
      </c>
      <c r="J13">
        <v>62.196174999999997</v>
      </c>
      <c r="K13">
        <v>0.63941398986656695</v>
      </c>
      <c r="L13">
        <v>0.7695784</v>
      </c>
      <c r="M13">
        <v>10.506907999999999</v>
      </c>
      <c r="N13" s="1">
        <v>44373.75</v>
      </c>
      <c r="O13">
        <v>7.1644148591092396</v>
      </c>
      <c r="P13">
        <v>8.5868167999999994</v>
      </c>
      <c r="Q13">
        <v>6.2089999999999996</v>
      </c>
      <c r="R13">
        <f t="shared" si="0"/>
        <v>3.5067229563615143</v>
      </c>
      <c r="S13">
        <v>50.501522032037499</v>
      </c>
      <c r="T13">
        <v>0.59515417000000004</v>
      </c>
      <c r="U13">
        <v>17.952999999999999</v>
      </c>
    </row>
    <row r="14" spans="1:21" x14ac:dyDescent="0.25">
      <c r="A14">
        <v>2117804</v>
      </c>
      <c r="B14">
        <v>1292.8333333333301</v>
      </c>
      <c r="C14">
        <v>98.952851751448407</v>
      </c>
      <c r="D14">
        <v>0.21315904999999999</v>
      </c>
      <c r="E14">
        <v>14.996592</v>
      </c>
      <c r="F14">
        <v>89.347777353080104</v>
      </c>
      <c r="G14">
        <v>229.669050390819</v>
      </c>
      <c r="H14">
        <v>33.319124133311298</v>
      </c>
      <c r="I14">
        <v>24.686278543509498</v>
      </c>
      <c r="K14">
        <v>2.3018903635196399</v>
      </c>
      <c r="L14">
        <v>0.71891218000000001</v>
      </c>
      <c r="M14">
        <v>11.528722</v>
      </c>
      <c r="N14" s="1">
        <v>44374.25</v>
      </c>
      <c r="O14">
        <v>15.090401376470201</v>
      </c>
      <c r="P14">
        <v>16.936522</v>
      </c>
      <c r="Q14">
        <v>6.2320000000000002</v>
      </c>
      <c r="R14">
        <f t="shared" si="0"/>
        <v>41.36842128629047</v>
      </c>
      <c r="S14">
        <v>53.296072658316199</v>
      </c>
      <c r="T14">
        <v>0.25337820999999999</v>
      </c>
      <c r="U14">
        <v>42.935000000000002</v>
      </c>
    </row>
    <row r="15" spans="1:21" x14ac:dyDescent="0.25">
      <c r="A15">
        <v>2117805</v>
      </c>
      <c r="B15">
        <v>1991.8333333333301</v>
      </c>
      <c r="C15">
        <v>125.785361186413</v>
      </c>
      <c r="F15">
        <v>109.63649647043999</v>
      </c>
      <c r="G15">
        <v>310.604800709573</v>
      </c>
      <c r="H15">
        <v>29.621832290842001</v>
      </c>
      <c r="I15">
        <v>29.952684632791598</v>
      </c>
      <c r="K15">
        <v>4.3224385714979903</v>
      </c>
      <c r="N15" s="1">
        <v>44374.75</v>
      </c>
      <c r="O15">
        <v>13.849321637097001</v>
      </c>
      <c r="Q15">
        <v>6.0910000000000002</v>
      </c>
      <c r="R15">
        <f t="shared" si="0"/>
        <v>75.18294305272002</v>
      </c>
      <c r="S15">
        <v>84.235740306402505</v>
      </c>
      <c r="T15">
        <v>0.20043870999999999</v>
      </c>
    </row>
    <row r="16" spans="1:21" x14ac:dyDescent="0.25">
      <c r="A16">
        <v>2117906</v>
      </c>
      <c r="B16">
        <v>1025.25</v>
      </c>
      <c r="C16">
        <v>135.94854621804001</v>
      </c>
      <c r="F16">
        <v>121.474270581841</v>
      </c>
      <c r="G16">
        <v>262.54226952713498</v>
      </c>
      <c r="H16">
        <v>39.974249449755902</v>
      </c>
      <c r="I16">
        <v>34.149351985188197</v>
      </c>
      <c r="K16">
        <v>7.62181475920947</v>
      </c>
      <c r="N16" s="1">
        <v>44375.25</v>
      </c>
      <c r="O16">
        <v>19.603418610554801</v>
      </c>
      <c r="Q16">
        <v>5.923</v>
      </c>
      <c r="R16">
        <f t="shared" si="0"/>
        <v>5.1194527272539858</v>
      </c>
      <c r="S16">
        <v>87.679025899495898</v>
      </c>
      <c r="T16">
        <v>0.36030915000000002</v>
      </c>
    </row>
    <row r="17" spans="1:21" x14ac:dyDescent="0.25">
      <c r="A17">
        <v>2117901</v>
      </c>
      <c r="B17">
        <v>717.16666666666595</v>
      </c>
      <c r="C17">
        <v>54.600542178280897</v>
      </c>
      <c r="D17">
        <v>0.21256183000000001</v>
      </c>
      <c r="E17">
        <v>8.6344013000000004</v>
      </c>
      <c r="F17">
        <v>35.287533727173098</v>
      </c>
      <c r="G17">
        <v>122.512334386606</v>
      </c>
      <c r="H17">
        <v>8.2645347066960095</v>
      </c>
      <c r="I17">
        <v>12.4254268668998</v>
      </c>
      <c r="K17">
        <v>1.48344045649043</v>
      </c>
      <c r="L17">
        <v>0.72028154</v>
      </c>
      <c r="M17">
        <v>10.329202</v>
      </c>
      <c r="N17" s="1">
        <v>44375.75</v>
      </c>
      <c r="O17">
        <v>4.1745409415282202</v>
      </c>
      <c r="P17">
        <v>10.280469</v>
      </c>
      <c r="Q17">
        <v>5.819</v>
      </c>
      <c r="R17">
        <f t="shared" si="0"/>
        <v>32.624258481151998</v>
      </c>
      <c r="S17">
        <v>25.2507610160187</v>
      </c>
      <c r="T17">
        <v>0.63121908999999998</v>
      </c>
      <c r="U17">
        <v>22.228000000000002</v>
      </c>
    </row>
    <row r="18" spans="1:21" x14ac:dyDescent="0.25">
      <c r="A18">
        <v>2118101</v>
      </c>
      <c r="B18">
        <v>361.166666666666</v>
      </c>
      <c r="C18">
        <v>65.103917503853694</v>
      </c>
      <c r="D18">
        <v>0.19561532000000001</v>
      </c>
      <c r="E18">
        <v>3.8627584000000001</v>
      </c>
      <c r="F18">
        <v>41.077398721713898</v>
      </c>
      <c r="G18">
        <v>111.979599756084</v>
      </c>
      <c r="H18">
        <v>3.9582771489965101</v>
      </c>
      <c r="I18">
        <v>10.2036617979839</v>
      </c>
      <c r="J18">
        <v>0.39967215</v>
      </c>
      <c r="K18">
        <v>0.79287334743454296</v>
      </c>
      <c r="M18">
        <v>8.8186950999999993</v>
      </c>
      <c r="N18" s="1">
        <v>44377.75</v>
      </c>
      <c r="O18">
        <v>3.1026993484331298</v>
      </c>
      <c r="P18">
        <v>4.8946547999999996</v>
      </c>
      <c r="Q18">
        <v>5.9039999999999999</v>
      </c>
      <c r="R18">
        <f t="shared" si="0"/>
        <v>5.7982835305164002</v>
      </c>
      <c r="S18">
        <v>25.699885223813499</v>
      </c>
      <c r="T18">
        <v>0.52721649000000004</v>
      </c>
      <c r="U18">
        <v>20.638999999999999</v>
      </c>
    </row>
    <row r="19" spans="1:21" x14ac:dyDescent="0.25">
      <c r="A19">
        <v>2118202</v>
      </c>
      <c r="B19">
        <v>215.916666666666</v>
      </c>
      <c r="C19">
        <v>15.393610801041801</v>
      </c>
      <c r="F19">
        <v>12.2893513254597</v>
      </c>
      <c r="G19">
        <v>25.001385886135498</v>
      </c>
      <c r="H19">
        <v>0.39147795979086297</v>
      </c>
      <c r="I19">
        <v>5.0195433038469401</v>
      </c>
      <c r="K19">
        <v>0.74172022824521699</v>
      </c>
      <c r="M19">
        <v>7.3304008999999999</v>
      </c>
      <c r="N19" s="1">
        <v>44378.25</v>
      </c>
      <c r="O19">
        <v>1.10004795080811</v>
      </c>
      <c r="P19">
        <v>2.4219227000000001</v>
      </c>
      <c r="Q19">
        <v>5.8360000000000003</v>
      </c>
      <c r="R19">
        <f t="shared" si="0"/>
        <v>-2.6815762403660024</v>
      </c>
      <c r="S19">
        <v>13.7232396826188</v>
      </c>
      <c r="T19">
        <v>0.49679797999999997</v>
      </c>
      <c r="U19">
        <v>6.5250000000000004</v>
      </c>
    </row>
    <row r="20" spans="1:21" x14ac:dyDescent="0.25">
      <c r="A20">
        <v>2118203</v>
      </c>
      <c r="B20">
        <v>211.166666666666</v>
      </c>
      <c r="C20">
        <v>5.6344017434752498</v>
      </c>
      <c r="F20">
        <v>6.9510635449778899</v>
      </c>
      <c r="G20">
        <v>8.8696712678086307</v>
      </c>
      <c r="H20">
        <v>0.39147795979086297</v>
      </c>
      <c r="I20">
        <v>5.7601316601522301</v>
      </c>
      <c r="K20">
        <v>0.53710775148791601</v>
      </c>
      <c r="N20" s="1">
        <v>44378.75</v>
      </c>
      <c r="O20">
        <v>0.95901616224296904</v>
      </c>
      <c r="Q20">
        <v>6.2770000000000001</v>
      </c>
      <c r="R20">
        <f t="shared" si="0"/>
        <v>-3.715794020644509</v>
      </c>
      <c r="S20">
        <v>39.772443734717299</v>
      </c>
      <c r="T20">
        <v>0.28726353999999998</v>
      </c>
    </row>
    <row r="21" spans="1:21" x14ac:dyDescent="0.25">
      <c r="A21">
        <v>2118304</v>
      </c>
      <c r="B21">
        <v>705.5</v>
      </c>
      <c r="C21">
        <v>20.220060596396099</v>
      </c>
      <c r="F21">
        <v>38.738873863194598</v>
      </c>
      <c r="G21">
        <v>141.69299850324299</v>
      </c>
      <c r="H21">
        <v>1.6529069413391999</v>
      </c>
      <c r="I21">
        <v>3.4560789960913398</v>
      </c>
      <c r="K21">
        <v>3.3249527473061402</v>
      </c>
      <c r="N21" s="1">
        <v>44379.25</v>
      </c>
      <c r="O21">
        <v>3.72323921811976</v>
      </c>
      <c r="Q21">
        <v>6.6310000000000002</v>
      </c>
      <c r="R21">
        <f t="shared" si="0"/>
        <v>82.734064043652296</v>
      </c>
      <c r="S21">
        <v>15.968860721592799</v>
      </c>
      <c r="T21">
        <v>0.35644066000000002</v>
      </c>
      <c r="U21">
        <v>20.544</v>
      </c>
    </row>
    <row r="22" spans="1:21" x14ac:dyDescent="0.25">
      <c r="A22">
        <v>2118301</v>
      </c>
      <c r="B22">
        <v>380</v>
      </c>
      <c r="C22">
        <v>13.7564450114282</v>
      </c>
      <c r="D22">
        <v>0.18266878</v>
      </c>
      <c r="E22">
        <v>2.0449898000000002</v>
      </c>
      <c r="F22">
        <v>16.22452419083</v>
      </c>
      <c r="G22">
        <v>65.469261045512496</v>
      </c>
      <c r="H22">
        <v>1.3049265326362101</v>
      </c>
      <c r="I22">
        <v>3.3737914009462999</v>
      </c>
      <c r="J22">
        <v>0.34129310000000002</v>
      </c>
      <c r="K22">
        <v>3.1459168301435101</v>
      </c>
      <c r="M22">
        <v>1.6482295</v>
      </c>
      <c r="N22" s="1">
        <v>44379.75</v>
      </c>
      <c r="O22">
        <v>1.88982596677291</v>
      </c>
      <c r="P22">
        <v>2.8622722999999999</v>
      </c>
      <c r="Q22">
        <v>6.5460000000000003</v>
      </c>
      <c r="R22">
        <f t="shared" si="0"/>
        <v>35.488291843254295</v>
      </c>
      <c r="S22">
        <v>19.062827486401499</v>
      </c>
      <c r="T22">
        <v>0.43512457999999998</v>
      </c>
      <c r="U22">
        <v>11.986000000000001</v>
      </c>
    </row>
    <row r="23" spans="1:21" x14ac:dyDescent="0.25">
      <c r="A23">
        <v>2118402</v>
      </c>
      <c r="B23">
        <v>132.583333333333</v>
      </c>
      <c r="C23">
        <v>4.1460692074629204</v>
      </c>
      <c r="F23">
        <v>5.7898649945407499</v>
      </c>
      <c r="G23">
        <v>10.4772991850989</v>
      </c>
      <c r="H23">
        <v>0.34798040870299002</v>
      </c>
      <c r="I23">
        <v>2.5509154494959798</v>
      </c>
      <c r="K23">
        <v>1.3299810989224501</v>
      </c>
      <c r="M23">
        <v>1.3150295000000001</v>
      </c>
      <c r="N23" s="1">
        <v>44380.25</v>
      </c>
      <c r="O23">
        <v>1.0154288776690199</v>
      </c>
      <c r="P23">
        <v>0.87561822</v>
      </c>
      <c r="Q23">
        <v>6.242</v>
      </c>
      <c r="R23">
        <f t="shared" si="0"/>
        <v>0.54136498309522985</v>
      </c>
      <c r="S23">
        <v>14.0226558211487</v>
      </c>
      <c r="T23">
        <v>0.31923845000000001</v>
      </c>
      <c r="U23">
        <v>4.093</v>
      </c>
    </row>
    <row r="24" spans="1:21" x14ac:dyDescent="0.25">
      <c r="A24">
        <v>2118701</v>
      </c>
      <c r="B24">
        <v>721.83333333333303</v>
      </c>
      <c r="C24">
        <v>52.516876627863702</v>
      </c>
      <c r="D24">
        <v>0.17669292</v>
      </c>
      <c r="E24">
        <v>9.5432854000000003</v>
      </c>
      <c r="F24">
        <v>46.8833914738996</v>
      </c>
      <c r="G24">
        <v>137.867952769</v>
      </c>
      <c r="H24">
        <v>0.73945836849385305</v>
      </c>
      <c r="I24">
        <v>8.3933347047932507</v>
      </c>
      <c r="K24">
        <v>5.0385822401485401</v>
      </c>
      <c r="M24">
        <v>9.4406680999999999</v>
      </c>
      <c r="N24" s="1">
        <v>44383.75</v>
      </c>
      <c r="O24">
        <v>2.2847149747553002</v>
      </c>
      <c r="P24">
        <v>8.4682607999999995</v>
      </c>
      <c r="Q24">
        <v>5.5759999999999996</v>
      </c>
      <c r="R24">
        <f t="shared" si="0"/>
        <v>38.467684667236696</v>
      </c>
      <c r="S24">
        <v>32.436748340735498</v>
      </c>
      <c r="T24">
        <v>0.58045948000000003</v>
      </c>
      <c r="U24">
        <v>24.696999999999999</v>
      </c>
    </row>
    <row r="25" spans="1:21" x14ac:dyDescent="0.25">
      <c r="A25">
        <v>2118802</v>
      </c>
      <c r="B25">
        <v>1398.8333333333301</v>
      </c>
      <c r="C25">
        <v>50.922234624993301</v>
      </c>
      <c r="D25">
        <v>0.21397661000000001</v>
      </c>
      <c r="E25">
        <v>7.7255168000000003</v>
      </c>
      <c r="F25">
        <v>36.900309491669198</v>
      </c>
      <c r="G25">
        <v>120.073174787959</v>
      </c>
      <c r="H25">
        <v>0.47847306196661099</v>
      </c>
      <c r="I25">
        <v>10.615099773709099</v>
      </c>
      <c r="K25">
        <v>6.3941398986656699</v>
      </c>
      <c r="L25">
        <v>0.71480410999999999</v>
      </c>
      <c r="M25">
        <v>8.8853349999999995</v>
      </c>
      <c r="N25" s="1">
        <v>44384.25</v>
      </c>
      <c r="O25">
        <v>1.9180323244859301</v>
      </c>
      <c r="P25">
        <v>23.711130000000001</v>
      </c>
      <c r="Q25">
        <v>4.9589999999999996</v>
      </c>
      <c r="R25">
        <f t="shared" si="0"/>
        <v>32.250630671296506</v>
      </c>
      <c r="S25">
        <v>43.5650481560956</v>
      </c>
      <c r="T25">
        <v>0.40843164999999998</v>
      </c>
      <c r="U25">
        <v>26.501999999999999</v>
      </c>
    </row>
    <row r="26" spans="1:21" x14ac:dyDescent="0.25">
      <c r="A26">
        <v>2118801</v>
      </c>
      <c r="B26">
        <v>749.75</v>
      </c>
      <c r="C26">
        <v>22.6013926540158</v>
      </c>
      <c r="D26">
        <v>0.21175975999999999</v>
      </c>
      <c r="E26">
        <v>5.6805272000000002</v>
      </c>
      <c r="F26">
        <v>12.5151399324892</v>
      </c>
      <c r="G26">
        <v>17.5730361993458</v>
      </c>
      <c r="H26">
        <v>4.3497551087873697E-2</v>
      </c>
      <c r="I26">
        <v>5.2664060892820403</v>
      </c>
      <c r="J26">
        <v>0.47825938000000001</v>
      </c>
      <c r="K26">
        <v>2.4553497210876101</v>
      </c>
      <c r="M26">
        <v>8.6632013000000008</v>
      </c>
      <c r="N26" s="1">
        <v>44384.75</v>
      </c>
      <c r="O26">
        <v>1.0154288776690199</v>
      </c>
      <c r="P26">
        <v>20.323826</v>
      </c>
      <c r="Q26">
        <v>4.6470000000000002</v>
      </c>
      <c r="R26">
        <f t="shared" si="0"/>
        <v>-17.543496387159202</v>
      </c>
      <c r="S26">
        <v>24.701831428714002</v>
      </c>
      <c r="T26">
        <v>0.43430333999999998</v>
      </c>
      <c r="U26">
        <v>15.673</v>
      </c>
    </row>
    <row r="27" spans="1:21" x14ac:dyDescent="0.25">
      <c r="A27">
        <v>2118902</v>
      </c>
      <c r="B27">
        <v>408.666666666666</v>
      </c>
      <c r="C27">
        <v>16.945729017168901</v>
      </c>
      <c r="F27">
        <v>6.9994468179127702</v>
      </c>
      <c r="G27">
        <v>2.3837241532235698</v>
      </c>
      <c r="H27">
        <v>0</v>
      </c>
      <c r="I27">
        <v>2.5509154494959798</v>
      </c>
      <c r="K27">
        <v>1.6368998140584099</v>
      </c>
      <c r="N27" s="1">
        <v>44385.25</v>
      </c>
      <c r="O27">
        <v>0.81798437367782595</v>
      </c>
      <c r="Q27">
        <v>4.9349999999999996</v>
      </c>
      <c r="R27">
        <f t="shared" si="0"/>
        <v>-21.561451681858102</v>
      </c>
      <c r="S27">
        <v>22.356405010229999</v>
      </c>
      <c r="T27">
        <v>0.41145377999999999</v>
      </c>
      <c r="U27">
        <v>7.343</v>
      </c>
    </row>
    <row r="28" spans="1:21" x14ac:dyDescent="0.25">
      <c r="A28">
        <v>2118903</v>
      </c>
      <c r="B28">
        <v>576</v>
      </c>
      <c r="C28">
        <v>77.7972678467017</v>
      </c>
      <c r="D28">
        <v>0.1891214</v>
      </c>
      <c r="E28">
        <v>8.1799593000000002</v>
      </c>
      <c r="F28">
        <v>67.155982833614701</v>
      </c>
      <c r="G28">
        <v>101.66860690725601</v>
      </c>
      <c r="H28">
        <v>0.86995102175747496</v>
      </c>
      <c r="I28">
        <v>9.2162106562435699</v>
      </c>
      <c r="K28">
        <v>3.1714933897381701</v>
      </c>
      <c r="M28">
        <v>6.6417875000000004</v>
      </c>
      <c r="N28" s="1">
        <v>44385.75</v>
      </c>
      <c r="O28">
        <v>3.2155247792852499</v>
      </c>
      <c r="P28">
        <v>5.6229253000000003</v>
      </c>
      <c r="Q28">
        <v>4.3460000000000001</v>
      </c>
      <c r="R28">
        <f t="shared" si="0"/>
        <v>-43.284643773060381</v>
      </c>
      <c r="S28">
        <v>29.891711163231601</v>
      </c>
      <c r="T28">
        <v>0.45806804000000001</v>
      </c>
      <c r="U28">
        <v>37.235999999999997</v>
      </c>
    </row>
    <row r="29" spans="1:21" x14ac:dyDescent="0.25">
      <c r="A29">
        <v>2119004</v>
      </c>
      <c r="B29">
        <v>68.5833333333333</v>
      </c>
      <c r="C29">
        <v>7.9732100143517703</v>
      </c>
      <c r="E29">
        <v>1.5905476000000001</v>
      </c>
      <c r="F29">
        <v>6.3543365121143598</v>
      </c>
      <c r="G29">
        <v>3.76961028881867</v>
      </c>
      <c r="H29">
        <v>-4.3497551087873697E-2</v>
      </c>
      <c r="I29">
        <v>1.15202633203044</v>
      </c>
      <c r="J29">
        <v>0.35588788999999998</v>
      </c>
      <c r="K29">
        <v>0.51153119189325302</v>
      </c>
      <c r="M29">
        <v>3.3542139999999998</v>
      </c>
      <c r="N29" s="1">
        <v>44386.25</v>
      </c>
      <c r="O29">
        <v>0.310269934843313</v>
      </c>
      <c r="P29">
        <v>0.82650226000000004</v>
      </c>
      <c r="Q29">
        <v>5.4109999999999996</v>
      </c>
      <c r="R29">
        <f t="shared" si="0"/>
        <v>-10.557936237647459</v>
      </c>
      <c r="S29">
        <v>6.9863765656968901</v>
      </c>
      <c r="T29">
        <v>0.64461148000000001</v>
      </c>
      <c r="U29">
        <v>3.9039999999999999</v>
      </c>
    </row>
    <row r="30" spans="1:21" x14ac:dyDescent="0.25">
      <c r="A30">
        <v>2119001</v>
      </c>
      <c r="B30">
        <v>459.916666666666</v>
      </c>
      <c r="C30">
        <v>32.807101472386101</v>
      </c>
      <c r="D30">
        <v>0.18440371999999999</v>
      </c>
      <c r="E30">
        <v>2.7266531000000001</v>
      </c>
      <c r="F30">
        <v>28.965452730348701</v>
      </c>
      <c r="G30">
        <v>36.531958534286801</v>
      </c>
      <c r="H30">
        <v>0.30448285761511601</v>
      </c>
      <c r="I30">
        <v>2.4686278543509501</v>
      </c>
      <c r="J30">
        <v>0.35701053999999999</v>
      </c>
      <c r="K30">
        <v>2.122854446357</v>
      </c>
      <c r="M30">
        <v>1.4905149</v>
      </c>
      <c r="N30" s="1">
        <v>44386.75</v>
      </c>
      <c r="O30">
        <v>1.6359687473556499</v>
      </c>
      <c r="P30">
        <v>14.396044</v>
      </c>
      <c r="Q30">
        <v>4.8959999999999999</v>
      </c>
      <c r="R30">
        <f t="shared" si="0"/>
        <v>-25.240595668448002</v>
      </c>
      <c r="S30">
        <v>15.120514995758199</v>
      </c>
      <c r="T30">
        <v>0.65661751999999995</v>
      </c>
      <c r="U30">
        <v>13.737</v>
      </c>
    </row>
    <row r="31" spans="1:21" x14ac:dyDescent="0.25">
      <c r="A31">
        <v>2119102</v>
      </c>
      <c r="B31">
        <v>205.25</v>
      </c>
      <c r="C31">
        <v>65.444107797799305</v>
      </c>
      <c r="D31">
        <v>0.17523167000000001</v>
      </c>
      <c r="E31">
        <v>1.8177687</v>
      </c>
      <c r="F31">
        <v>12.660289751293799</v>
      </c>
      <c r="G31">
        <v>24.280725095626099</v>
      </c>
      <c r="H31">
        <v>-0.21748775543936799</v>
      </c>
      <c r="I31">
        <v>1.15202633203044</v>
      </c>
      <c r="J31">
        <v>0.35251983999999997</v>
      </c>
      <c r="K31">
        <v>0.40922495351460197</v>
      </c>
      <c r="M31">
        <v>1.2928162999999999</v>
      </c>
      <c r="N31" s="1">
        <v>44387.25</v>
      </c>
      <c r="O31">
        <v>0.76157165825176898</v>
      </c>
      <c r="P31">
        <v>3.3873042999999998</v>
      </c>
      <c r="Q31">
        <v>4.5999999999999996</v>
      </c>
      <c r="R31">
        <f t="shared" si="0"/>
        <v>-53.823672453467012</v>
      </c>
      <c r="S31">
        <v>9.3817056739358193</v>
      </c>
      <c r="T31">
        <v>0.67018372000000004</v>
      </c>
      <c r="U31">
        <v>17.053000000000001</v>
      </c>
    </row>
    <row r="32" spans="1:21" x14ac:dyDescent="0.25">
      <c r="A32">
        <v>2119204</v>
      </c>
      <c r="B32">
        <v>497</v>
      </c>
      <c r="C32">
        <v>12.0767554350714</v>
      </c>
      <c r="F32">
        <v>7.9671122766103899</v>
      </c>
      <c r="G32">
        <v>16.2425855091745</v>
      </c>
      <c r="H32">
        <v>2.3923653098330502</v>
      </c>
      <c r="I32">
        <v>1.5634643077556001</v>
      </c>
      <c r="K32">
        <v>13.5300000255765</v>
      </c>
      <c r="N32" s="1">
        <v>44388.25</v>
      </c>
      <c r="O32">
        <v>5.7258906157447802</v>
      </c>
      <c r="Q32">
        <v>6.0490000000000004</v>
      </c>
      <c r="R32">
        <f t="shared" si="0"/>
        <v>-3.8012822025072914</v>
      </c>
      <c r="S32">
        <v>14.3719746494336</v>
      </c>
      <c r="T32">
        <v>0.69252753</v>
      </c>
    </row>
    <row r="33" spans="1:21" x14ac:dyDescent="0.25">
      <c r="A33">
        <v>2119306</v>
      </c>
      <c r="B33">
        <v>1083.25</v>
      </c>
      <c r="C33">
        <v>19.0506564609578</v>
      </c>
      <c r="D33">
        <v>0.24662004000000001</v>
      </c>
      <c r="E33">
        <v>5.6805272000000002</v>
      </c>
      <c r="F33">
        <v>28.191320363390599</v>
      </c>
      <c r="G33">
        <v>96.291368701147505</v>
      </c>
      <c r="H33">
        <v>2.5663555141845502</v>
      </c>
      <c r="I33">
        <v>3.7029417815264298</v>
      </c>
      <c r="K33">
        <v>6.6243289350176298</v>
      </c>
      <c r="M33">
        <v>11.995202000000001</v>
      </c>
      <c r="N33" s="1">
        <v>44389.25</v>
      </c>
      <c r="O33">
        <v>3.1026993484331298</v>
      </c>
      <c r="P33">
        <v>30.485738999999999</v>
      </c>
      <c r="Q33">
        <v>5.6619999999999999</v>
      </c>
      <c r="R33">
        <f t="shared" si="0"/>
        <v>49.049391876799106</v>
      </c>
      <c r="S33">
        <v>13.8230450621288</v>
      </c>
      <c r="T33">
        <v>0.36749809999999999</v>
      </c>
      <c r="U33">
        <v>15.727</v>
      </c>
    </row>
    <row r="34" spans="1:21" x14ac:dyDescent="0.25">
      <c r="A34">
        <v>2119301</v>
      </c>
      <c r="B34">
        <v>755.75</v>
      </c>
      <c r="C34">
        <v>23.558177855737998</v>
      </c>
      <c r="D34">
        <v>0.20893877999999999</v>
      </c>
      <c r="E34">
        <v>3.4083163999999999</v>
      </c>
      <c r="F34">
        <v>42.383747090955701</v>
      </c>
      <c r="G34">
        <v>37.2526193247962</v>
      </c>
      <c r="H34">
        <v>0.69596081740598004</v>
      </c>
      <c r="I34">
        <v>2.8800658300761102</v>
      </c>
      <c r="J34">
        <v>0.42212567000000001</v>
      </c>
      <c r="K34">
        <v>2.5320793998715998</v>
      </c>
      <c r="M34">
        <v>3.5541339000000001</v>
      </c>
      <c r="N34" s="1">
        <v>44389.75</v>
      </c>
      <c r="O34">
        <v>2.5949849095986202</v>
      </c>
      <c r="P34">
        <v>18.968903999999998</v>
      </c>
      <c r="Q34">
        <v>4.585</v>
      </c>
      <c r="R34">
        <f t="shared" si="0"/>
        <v>-28.689305621897503</v>
      </c>
      <c r="S34">
        <v>18.114676381056899</v>
      </c>
      <c r="T34">
        <v>0.31403869000000001</v>
      </c>
      <c r="U34">
        <v>18.948</v>
      </c>
    </row>
    <row r="35" spans="1:21" x14ac:dyDescent="0.25">
      <c r="A35">
        <v>2119402</v>
      </c>
      <c r="B35">
        <v>418.58333333333297</v>
      </c>
      <c r="C35">
        <v>24.621272524318201</v>
      </c>
      <c r="E35">
        <v>2.9538741000000002</v>
      </c>
      <c r="F35">
        <v>30.674995040714499</v>
      </c>
      <c r="G35">
        <v>20.732856588502599</v>
      </c>
      <c r="H35">
        <v>0.65246326631810603</v>
      </c>
      <c r="I35">
        <v>1.7280394980456699</v>
      </c>
      <c r="J35">
        <v>0.36599192000000003</v>
      </c>
      <c r="K35">
        <v>1.6624763736530701</v>
      </c>
      <c r="M35">
        <v>1.5060643</v>
      </c>
      <c r="N35" s="1">
        <v>44390.25</v>
      </c>
      <c r="O35">
        <v>1.69238146278171</v>
      </c>
      <c r="P35">
        <v>6.7746085999999996</v>
      </c>
      <c r="Q35">
        <v>4.5780000000000003</v>
      </c>
      <c r="R35">
        <f t="shared" si="0"/>
        <v>-34.563410976530101</v>
      </c>
      <c r="S35">
        <v>12.525575128499399</v>
      </c>
      <c r="T35">
        <v>0.35852077999999998</v>
      </c>
      <c r="U35">
        <v>15.916</v>
      </c>
    </row>
    <row r="36" spans="1:21" x14ac:dyDescent="0.25">
      <c r="A36">
        <v>2119401</v>
      </c>
      <c r="B36">
        <v>278.83333333333297</v>
      </c>
      <c r="C36">
        <v>39.48333599107</v>
      </c>
      <c r="D36">
        <v>0.19365837</v>
      </c>
      <c r="E36">
        <v>3.1810950999999998</v>
      </c>
      <c r="F36">
        <v>20.498379966744501</v>
      </c>
      <c r="G36">
        <v>12.8055878928987</v>
      </c>
      <c r="H36">
        <v>0.56546816414235801</v>
      </c>
      <c r="I36">
        <v>0.98745114174038195</v>
      </c>
      <c r="J36">
        <v>0.36935996999999998</v>
      </c>
      <c r="K36">
        <v>0.74172022824521699</v>
      </c>
      <c r="M36">
        <v>1.5882536</v>
      </c>
      <c r="N36" s="1">
        <v>44390.75</v>
      </c>
      <c r="O36">
        <v>1.3256988125123399</v>
      </c>
      <c r="P36">
        <v>6.0971479000000004</v>
      </c>
      <c r="Q36">
        <v>4.508</v>
      </c>
      <c r="R36">
        <f t="shared" si="0"/>
        <v>-47.176128064915801</v>
      </c>
      <c r="S36">
        <v>10.529467538300301</v>
      </c>
      <c r="T36">
        <v>0.60683589999999998</v>
      </c>
      <c r="U36">
        <v>16.579999999999998</v>
      </c>
    </row>
    <row r="37" spans="1:21" x14ac:dyDescent="0.25">
      <c r="A37">
        <v>2119502</v>
      </c>
      <c r="B37">
        <v>235.75</v>
      </c>
      <c r="C37">
        <v>32.913410939244102</v>
      </c>
      <c r="E37">
        <v>2.0449898000000002</v>
      </c>
      <c r="F37">
        <v>24.514191620339599</v>
      </c>
      <c r="G37">
        <v>11.364266311879801</v>
      </c>
      <c r="H37">
        <v>2.2618726565694298</v>
      </c>
      <c r="I37">
        <v>1.2343139271754699</v>
      </c>
      <c r="J37">
        <v>0.33904775999999998</v>
      </c>
      <c r="K37">
        <v>1.43228733730111</v>
      </c>
      <c r="M37">
        <v>1.4349816</v>
      </c>
      <c r="N37" s="1">
        <v>44391.25</v>
      </c>
      <c r="O37">
        <v>2.2565086170422801</v>
      </c>
      <c r="P37">
        <v>5.0809565000000001</v>
      </c>
      <c r="Q37">
        <v>4.6280000000000001</v>
      </c>
      <c r="R37">
        <f t="shared" si="0"/>
        <v>-46.063336247703901</v>
      </c>
      <c r="S37">
        <v>11.2780078846249</v>
      </c>
      <c r="T37">
        <v>0.54207927</v>
      </c>
      <c r="U37">
        <v>14.494999999999999</v>
      </c>
    </row>
    <row r="38" spans="1:21" x14ac:dyDescent="0.25">
      <c r="A38">
        <v>2119503</v>
      </c>
      <c r="B38">
        <v>234.666666666666</v>
      </c>
      <c r="C38">
        <v>33.168553659703399</v>
      </c>
      <c r="F38">
        <v>22.2401777924002</v>
      </c>
      <c r="G38">
        <v>19.069793225788501</v>
      </c>
      <c r="H38">
        <v>1.13093632828471</v>
      </c>
      <c r="I38">
        <v>1.2343139271754699</v>
      </c>
      <c r="J38">
        <v>0.37385064000000001</v>
      </c>
      <c r="K38">
        <v>2.0461247675730099</v>
      </c>
      <c r="M38">
        <v>3.4652805</v>
      </c>
      <c r="N38" s="1">
        <v>44391.75</v>
      </c>
      <c r="O38">
        <v>1.6359687473556499</v>
      </c>
      <c r="P38">
        <v>1.3989567000000001</v>
      </c>
      <c r="Q38">
        <v>4.8470000000000004</v>
      </c>
      <c r="R38">
        <f t="shared" si="0"/>
        <v>-36.338938226315094</v>
      </c>
      <c r="S38">
        <v>10.4795648485453</v>
      </c>
      <c r="T38">
        <v>0.51367956000000004</v>
      </c>
      <c r="U38">
        <v>11.653</v>
      </c>
    </row>
    <row r="39" spans="1:21" x14ac:dyDescent="0.25">
      <c r="A39">
        <v>2119604</v>
      </c>
      <c r="B39">
        <v>610.33333333333303</v>
      </c>
      <c r="C39">
        <v>90.171689788975698</v>
      </c>
      <c r="D39">
        <v>0.17860683999999999</v>
      </c>
      <c r="E39">
        <v>2.4994318</v>
      </c>
      <c r="F39">
        <v>66.639894588976006</v>
      </c>
      <c r="G39">
        <v>116.857918953378</v>
      </c>
      <c r="H39">
        <v>1.13093632828471</v>
      </c>
      <c r="I39">
        <v>3.1269286155112099</v>
      </c>
      <c r="J39">
        <v>0.37609600999999998</v>
      </c>
      <c r="K39">
        <v>3.0947637109541799</v>
      </c>
      <c r="L39">
        <v>0.55595874999999995</v>
      </c>
      <c r="M39">
        <v>4.5093074</v>
      </c>
      <c r="N39" s="1">
        <v>44392.25</v>
      </c>
      <c r="O39">
        <v>3.1026993484331298</v>
      </c>
      <c r="P39">
        <v>11.855565</v>
      </c>
      <c r="Q39">
        <v>4.8659999999999997</v>
      </c>
      <c r="R39">
        <f t="shared" si="0"/>
        <v>-39.9536654245737</v>
      </c>
      <c r="S39">
        <v>27.196965916462801</v>
      </c>
      <c r="T39">
        <v>0.41030770999999999</v>
      </c>
      <c r="U39">
        <v>28.99</v>
      </c>
    </row>
    <row r="40" spans="1:21" x14ac:dyDescent="0.25">
      <c r="A40">
        <v>2119702</v>
      </c>
      <c r="B40">
        <v>754.5</v>
      </c>
      <c r="C40">
        <v>107.478870993462</v>
      </c>
      <c r="D40">
        <v>0.17324371999999999</v>
      </c>
      <c r="E40">
        <v>3.8627584000000001</v>
      </c>
      <c r="F40">
        <v>43.528817883747898</v>
      </c>
      <c r="G40">
        <v>147.125672154775</v>
      </c>
      <c r="H40">
        <v>2.6968481674481701</v>
      </c>
      <c r="I40">
        <v>8.2287595145031904</v>
      </c>
      <c r="J40">
        <v>0.40528554</v>
      </c>
      <c r="K40">
        <v>3.9132136179833901</v>
      </c>
      <c r="L40">
        <v>0.53952652000000001</v>
      </c>
      <c r="M40">
        <v>4.9535742000000003</v>
      </c>
      <c r="N40" s="1">
        <v>44393.25</v>
      </c>
      <c r="O40">
        <v>3.4975883564155299</v>
      </c>
      <c r="P40">
        <v>3.5736059999999998</v>
      </c>
      <c r="Q40">
        <v>5.4859999999999998</v>
      </c>
      <c r="R40">
        <f t="shared" si="0"/>
        <v>-3.8820167224348836</v>
      </c>
      <c r="S40">
        <v>49.653176306202802</v>
      </c>
      <c r="T40">
        <v>0.64448583000000004</v>
      </c>
      <c r="U40">
        <v>29.463999999999999</v>
      </c>
    </row>
    <row r="41" spans="1:21" x14ac:dyDescent="0.25">
      <c r="A41">
        <v>2119701</v>
      </c>
      <c r="B41">
        <v>356.5</v>
      </c>
      <c r="C41">
        <v>17.413490671344199</v>
      </c>
      <c r="E41">
        <v>1.8177687</v>
      </c>
      <c r="F41">
        <v>17.240572922462501</v>
      </c>
      <c r="G41">
        <v>23.17201618715</v>
      </c>
      <c r="H41">
        <v>0.34798040870299002</v>
      </c>
      <c r="I41">
        <v>1.89261468833573</v>
      </c>
      <c r="J41">
        <v>0.33343436999999998</v>
      </c>
      <c r="K41">
        <v>1.45786389689577</v>
      </c>
      <c r="M41">
        <v>1.5304990000000001</v>
      </c>
      <c r="N41" s="1">
        <v>44393.75</v>
      </c>
      <c r="O41">
        <v>1.21287338166022</v>
      </c>
      <c r="P41">
        <v>3.3873042999999998</v>
      </c>
      <c r="Q41">
        <v>5.5190000000000001</v>
      </c>
      <c r="R41">
        <f t="shared" si="0"/>
        <v>-11.482047406656697</v>
      </c>
      <c r="S41">
        <v>14.1723638904136</v>
      </c>
      <c r="T41">
        <v>0.47396990999999999</v>
      </c>
      <c r="U41">
        <v>7.8440000000000003</v>
      </c>
    </row>
    <row r="42" spans="1:21" x14ac:dyDescent="0.25">
      <c r="A42">
        <v>2119905</v>
      </c>
      <c r="B42">
        <v>465.33333333333297</v>
      </c>
      <c r="C42">
        <v>9.8655185244245995</v>
      </c>
      <c r="D42">
        <v>0.17604576</v>
      </c>
      <c r="E42">
        <v>2.2722107999999999</v>
      </c>
      <c r="F42">
        <v>15.9664800685107</v>
      </c>
      <c r="G42">
        <v>18.071955208160102</v>
      </c>
      <c r="H42">
        <v>-0.130492653263621</v>
      </c>
      <c r="I42">
        <v>1.2343139271754699</v>
      </c>
      <c r="J42">
        <v>0.48724082000000002</v>
      </c>
      <c r="K42">
        <v>2.0461247675730099</v>
      </c>
      <c r="L42">
        <v>0.66550726000000004</v>
      </c>
      <c r="M42">
        <v>7.1971211000000004</v>
      </c>
      <c r="N42" s="1">
        <v>44395.75</v>
      </c>
      <c r="O42">
        <v>1.10004795080811</v>
      </c>
      <c r="P42">
        <v>3.4719869999999999</v>
      </c>
      <c r="Q42">
        <v>5.2619999999999996</v>
      </c>
      <c r="R42">
        <f t="shared" si="0"/>
        <v>-7.7600433847751979</v>
      </c>
      <c r="S42">
        <v>11.02849443585</v>
      </c>
      <c r="T42">
        <v>0.34920716000000002</v>
      </c>
      <c r="U42">
        <v>7.8070000000000004</v>
      </c>
    </row>
    <row r="43" spans="1:21" x14ac:dyDescent="0.25">
      <c r="A43">
        <v>2120006</v>
      </c>
      <c r="B43">
        <v>423.5</v>
      </c>
      <c r="C43">
        <v>7.7393291872641203</v>
      </c>
      <c r="D43">
        <v>0.18016967</v>
      </c>
      <c r="E43">
        <v>2.2722107999999999</v>
      </c>
      <c r="F43">
        <v>12.240968052524799</v>
      </c>
      <c r="G43">
        <v>25.389434004102199</v>
      </c>
      <c r="H43">
        <v>0.21748775543936799</v>
      </c>
      <c r="I43">
        <v>0.57601316601522301</v>
      </c>
      <c r="K43">
        <v>2.0717013271676699</v>
      </c>
      <c r="L43">
        <v>0.51487802999999999</v>
      </c>
      <c r="M43">
        <v>7.0194143999999996</v>
      </c>
      <c r="N43" s="1">
        <v>44396.25</v>
      </c>
      <c r="O43">
        <v>1.2974924547993101</v>
      </c>
      <c r="P43">
        <v>2.3880496</v>
      </c>
      <c r="Q43">
        <v>5.6050000000000004</v>
      </c>
      <c r="R43">
        <f t="shared" si="0"/>
        <v>5.4091367643132813</v>
      </c>
      <c r="S43">
        <v>7.7848196017765297</v>
      </c>
      <c r="T43">
        <v>0.55007320999999998</v>
      </c>
      <c r="U43">
        <v>6.8970000000000002</v>
      </c>
    </row>
    <row r="44" spans="1:21" x14ac:dyDescent="0.25">
      <c r="A44">
        <v>2120001</v>
      </c>
      <c r="B44">
        <v>2364</v>
      </c>
      <c r="C44">
        <v>36.549194705788501</v>
      </c>
      <c r="F44">
        <v>30.852400374809001</v>
      </c>
      <c r="G44">
        <v>108.099118576417</v>
      </c>
      <c r="H44">
        <v>0.56546816414235801</v>
      </c>
      <c r="I44">
        <v>6.1715696358773897</v>
      </c>
      <c r="K44">
        <v>7.74969755718279</v>
      </c>
      <c r="N44" s="1">
        <v>44396.75</v>
      </c>
      <c r="O44">
        <v>2.7642230558767902</v>
      </c>
      <c r="Q44">
        <v>4.4539999999999997</v>
      </c>
      <c r="R44">
        <f t="shared" si="0"/>
        <v>40.697523495819496</v>
      </c>
      <c r="S44">
        <v>57.737412046509299</v>
      </c>
      <c r="T44">
        <v>0.13410443</v>
      </c>
    </row>
    <row r="45" spans="1:21" x14ac:dyDescent="0.25">
      <c r="A45">
        <v>2120102</v>
      </c>
      <c r="B45">
        <v>2711.4166666666601</v>
      </c>
      <c r="C45">
        <v>39.036836230266303</v>
      </c>
      <c r="D45">
        <v>0.23741877</v>
      </c>
      <c r="E45">
        <v>24.994319999999998</v>
      </c>
      <c r="F45">
        <v>38.835640409064403</v>
      </c>
      <c r="G45">
        <v>132.10266644492401</v>
      </c>
      <c r="H45">
        <v>2.0443849011300599</v>
      </c>
      <c r="I45">
        <v>11.191112939724301</v>
      </c>
      <c r="K45">
        <v>6.9056710905589203</v>
      </c>
      <c r="L45">
        <v>1.9307927</v>
      </c>
      <c r="M45">
        <v>29.099471999999999</v>
      </c>
      <c r="N45" s="1">
        <v>44397.25</v>
      </c>
      <c r="O45">
        <v>2.3411276901813598</v>
      </c>
      <c r="P45">
        <v>32.179389999999998</v>
      </c>
      <c r="Q45">
        <v>4.383</v>
      </c>
      <c r="R45">
        <f t="shared" si="0"/>
        <v>54.230189805593312</v>
      </c>
      <c r="S45">
        <v>52.248116173461703</v>
      </c>
      <c r="T45">
        <v>0.57793002999999998</v>
      </c>
      <c r="U45">
        <v>39.420999999999999</v>
      </c>
    </row>
    <row r="46" spans="1:21" x14ac:dyDescent="0.25">
      <c r="A46">
        <v>2120103</v>
      </c>
      <c r="B46">
        <v>3878.1666666666601</v>
      </c>
      <c r="C46">
        <v>55.217137086057498</v>
      </c>
      <c r="D46">
        <v>0.32238019000000001</v>
      </c>
      <c r="E46">
        <v>38.173141000000001</v>
      </c>
      <c r="F46">
        <v>69.591274238003706</v>
      </c>
      <c r="G46">
        <v>212.48406230943999</v>
      </c>
      <c r="H46">
        <v>3.6102967402935202</v>
      </c>
      <c r="I46">
        <v>12.343139271754699</v>
      </c>
      <c r="K46">
        <v>10.026011361107701</v>
      </c>
      <c r="L46">
        <v>2.4511482999999998</v>
      </c>
      <c r="M46">
        <v>35.541339999999998</v>
      </c>
      <c r="N46" s="1">
        <v>44397.75</v>
      </c>
      <c r="O46">
        <v>3.4129692832764502</v>
      </c>
      <c r="P46">
        <v>46.067340999999999</v>
      </c>
      <c r="Q46">
        <v>4.181</v>
      </c>
      <c r="R46">
        <f t="shared" si="0"/>
        <v>87.67565098537878</v>
      </c>
      <c r="S46">
        <v>37.975946903538002</v>
      </c>
      <c r="T46">
        <v>0.42515129000000002</v>
      </c>
      <c r="U46">
        <v>58.514000000000003</v>
      </c>
    </row>
    <row r="47" spans="1:21" x14ac:dyDescent="0.25">
      <c r="A47">
        <v>2120205</v>
      </c>
      <c r="B47">
        <v>395.666666666666</v>
      </c>
      <c r="C47">
        <v>16.499229256365201</v>
      </c>
      <c r="D47">
        <v>0.18393727000000001</v>
      </c>
      <c r="E47">
        <v>4.0899796000000004</v>
      </c>
      <c r="F47">
        <v>12.2248402948799</v>
      </c>
      <c r="G47">
        <v>25.6666112312212</v>
      </c>
      <c r="H47">
        <v>0.86995102175747496</v>
      </c>
      <c r="I47">
        <v>1.8103270931907001</v>
      </c>
      <c r="J47">
        <v>0.45356058999999999</v>
      </c>
      <c r="K47">
        <v>1.3299810989224501</v>
      </c>
      <c r="L47">
        <v>0.68604761000000003</v>
      </c>
      <c r="M47">
        <v>7.2859745</v>
      </c>
      <c r="N47" s="1">
        <v>44398.75</v>
      </c>
      <c r="O47">
        <v>1.0154288776690199</v>
      </c>
      <c r="P47">
        <v>3.8954</v>
      </c>
      <c r="Q47">
        <v>4.8860000000000001</v>
      </c>
      <c r="R47">
        <f t="shared" si="0"/>
        <v>-3.0574583200239012</v>
      </c>
      <c r="S47">
        <v>9.3318029841808396</v>
      </c>
      <c r="T47">
        <v>0.82832819000000002</v>
      </c>
      <c r="U47">
        <v>10.544</v>
      </c>
    </row>
    <row r="48" spans="1:21" x14ac:dyDescent="0.25">
      <c r="A48">
        <v>2120306</v>
      </c>
      <c r="B48">
        <v>839.5</v>
      </c>
      <c r="C48">
        <v>20.602774677084899</v>
      </c>
      <c r="D48">
        <v>0.19507831</v>
      </c>
      <c r="E48">
        <v>6.8166327000000004</v>
      </c>
      <c r="F48">
        <v>23.6594204651567</v>
      </c>
      <c r="G48">
        <v>74.505238649592499</v>
      </c>
      <c r="H48">
        <v>3.9147795979086299</v>
      </c>
      <c r="I48">
        <v>6.4184324213124802</v>
      </c>
      <c r="J48">
        <v>0.86670482000000004</v>
      </c>
      <c r="K48">
        <v>2.2251606847356502</v>
      </c>
      <c r="L48">
        <v>0.59840881999999995</v>
      </c>
      <c r="M48">
        <v>12.439468</v>
      </c>
      <c r="N48" s="1">
        <v>44399.25</v>
      </c>
      <c r="O48">
        <v>2.3693340478943901</v>
      </c>
      <c r="P48">
        <v>27.098434000000001</v>
      </c>
      <c r="Q48">
        <v>5.4279999999999999</v>
      </c>
      <c r="R48">
        <f t="shared" si="0"/>
        <v>30.243043507350905</v>
      </c>
      <c r="S48">
        <v>24.4523179799391</v>
      </c>
      <c r="T48">
        <v>0.37761508999999999</v>
      </c>
      <c r="U48">
        <v>14.628</v>
      </c>
    </row>
    <row r="49" spans="1:21" x14ac:dyDescent="0.25">
      <c r="A49">
        <v>2120604</v>
      </c>
      <c r="B49">
        <v>2836.3333333333298</v>
      </c>
      <c r="C49">
        <v>21.750916919151599</v>
      </c>
      <c r="F49">
        <v>22.643371733524202</v>
      </c>
      <c r="G49">
        <v>46.399467819723903</v>
      </c>
      <c r="H49">
        <v>0.69596081740598004</v>
      </c>
      <c r="I49">
        <v>7.4058835630528703</v>
      </c>
      <c r="K49">
        <v>5.6012665512311202</v>
      </c>
      <c r="N49" s="1">
        <v>44402.25</v>
      </c>
      <c r="O49">
        <v>2.2847149747553002</v>
      </c>
      <c r="Q49">
        <v>6.04</v>
      </c>
      <c r="R49">
        <f t="shared" si="0"/>
        <v>2.0051791670481052</v>
      </c>
      <c r="S49">
        <v>34.482758620689602</v>
      </c>
      <c r="T49">
        <v>0.55787151999999995</v>
      </c>
      <c r="U49">
        <v>13.496</v>
      </c>
    </row>
    <row r="50" spans="1:21" x14ac:dyDescent="0.25">
      <c r="A50">
        <v>2120605</v>
      </c>
      <c r="B50">
        <v>630.16666666666595</v>
      </c>
      <c r="C50">
        <v>27.449104342741698</v>
      </c>
      <c r="D50">
        <v>0.1707601</v>
      </c>
      <c r="E50">
        <v>2.0449898000000002</v>
      </c>
      <c r="F50">
        <v>12.4828844171992</v>
      </c>
      <c r="G50">
        <v>24.169854204778499</v>
      </c>
      <c r="H50">
        <v>0.21748775543936799</v>
      </c>
      <c r="I50">
        <v>2.3040526640608898</v>
      </c>
      <c r="J50">
        <v>0.40753089999999997</v>
      </c>
      <c r="K50">
        <v>0.94633270500251898</v>
      </c>
      <c r="L50">
        <v>0.59977818000000005</v>
      </c>
      <c r="M50">
        <v>5.5089072999999997</v>
      </c>
      <c r="N50" s="1">
        <v>44402.75</v>
      </c>
      <c r="O50">
        <v>0.70515894282571201</v>
      </c>
      <c r="P50">
        <v>5.9277825000000002</v>
      </c>
      <c r="Q50">
        <v>4.9459999999999997</v>
      </c>
      <c r="R50">
        <f t="shared" si="0"/>
        <v>-15.762134555162401</v>
      </c>
      <c r="S50">
        <v>12.525575128499399</v>
      </c>
      <c r="T50">
        <v>0.55240571000000005</v>
      </c>
      <c r="U50">
        <v>10.829000000000001</v>
      </c>
    </row>
    <row r="51" spans="1:21" x14ac:dyDescent="0.25">
      <c r="A51">
        <v>2120706</v>
      </c>
      <c r="B51">
        <v>2250</v>
      </c>
      <c r="C51">
        <v>84.579811832243607</v>
      </c>
      <c r="D51">
        <v>0.17876863000000001</v>
      </c>
      <c r="E51">
        <v>26.812087999999999</v>
      </c>
      <c r="F51">
        <v>73.752235710403497</v>
      </c>
      <c r="G51">
        <v>311.60263872720202</v>
      </c>
      <c r="H51">
        <v>7.3510861338506599</v>
      </c>
      <c r="I51">
        <v>13.08372762806</v>
      </c>
      <c r="K51">
        <v>12.711550118547301</v>
      </c>
      <c r="L51">
        <v>1.7938571000000001</v>
      </c>
      <c r="M51">
        <v>34.430672000000001</v>
      </c>
      <c r="N51" s="1">
        <v>44403.25</v>
      </c>
      <c r="O51">
        <v>3.9770964375370199</v>
      </c>
      <c r="P51">
        <v>82.988960000000006</v>
      </c>
      <c r="Q51">
        <v>5.0069999999999997</v>
      </c>
      <c r="R51">
        <f t="shared" si="0"/>
        <v>153.27059118455492</v>
      </c>
      <c r="S51">
        <v>49.952592444732701</v>
      </c>
      <c r="T51">
        <v>0.66243892999999998</v>
      </c>
      <c r="U51">
        <v>52.055</v>
      </c>
    </row>
    <row r="52" spans="1:21" x14ac:dyDescent="0.25">
      <c r="A52">
        <v>2120701</v>
      </c>
      <c r="B52">
        <v>3583.1666666666601</v>
      </c>
      <c r="C52">
        <v>36.889384999734197</v>
      </c>
      <c r="F52">
        <v>27.771998664621599</v>
      </c>
      <c r="G52">
        <v>104.772991850989</v>
      </c>
      <c r="H52">
        <v>2.2618726565694298</v>
      </c>
      <c r="I52">
        <v>8.8870602756634405</v>
      </c>
      <c r="K52">
        <v>5.8314555875830898</v>
      </c>
      <c r="N52" s="1">
        <v>44403.75</v>
      </c>
      <c r="O52">
        <v>2.1154768284771301</v>
      </c>
      <c r="Q52">
        <v>5.5519999999999996</v>
      </c>
      <c r="R52">
        <f t="shared" si="0"/>
        <v>40.111608186633205</v>
      </c>
      <c r="S52">
        <v>39.722541044962298</v>
      </c>
      <c r="T52">
        <v>0.53929073000000005</v>
      </c>
    </row>
    <row r="53" spans="1:21" x14ac:dyDescent="0.25">
      <c r="A53">
        <v>2120802</v>
      </c>
      <c r="B53">
        <v>1556.6666666666599</v>
      </c>
      <c r="C53">
        <v>43.799500345505699</v>
      </c>
      <c r="D53">
        <v>0.20091306</v>
      </c>
      <c r="E53">
        <v>17.041581999999998</v>
      </c>
      <c r="F53">
        <v>43.528817883747898</v>
      </c>
      <c r="G53">
        <v>136.426631187981</v>
      </c>
      <c r="H53">
        <v>1.69640449242707</v>
      </c>
      <c r="I53">
        <v>16.292943838716301</v>
      </c>
      <c r="K53">
        <v>9.4121739308358592</v>
      </c>
      <c r="M53">
        <v>23.324003000000001</v>
      </c>
      <c r="N53" s="1">
        <v>44404.25</v>
      </c>
      <c r="O53">
        <v>3.9770964375370199</v>
      </c>
      <c r="P53">
        <v>15.327553</v>
      </c>
      <c r="Q53">
        <v>4.8490000000000002</v>
      </c>
      <c r="R53">
        <f t="shared" si="0"/>
        <v>49.098312958727405</v>
      </c>
      <c r="S53">
        <v>69.614252208194003</v>
      </c>
      <c r="T53">
        <v>0.19531502000000001</v>
      </c>
      <c r="U53">
        <v>33.911000000000001</v>
      </c>
    </row>
    <row r="54" spans="1:21" x14ac:dyDescent="0.25">
      <c r="A54">
        <v>2120801</v>
      </c>
      <c r="B54">
        <v>2255.6666666666601</v>
      </c>
      <c r="C54">
        <v>37.761122627970003</v>
      </c>
      <c r="F54">
        <v>41.270931813453402</v>
      </c>
      <c r="G54">
        <v>71.511724596707097</v>
      </c>
      <c r="H54">
        <v>0.86995102175747496</v>
      </c>
      <c r="I54">
        <v>16.539806624151399</v>
      </c>
      <c r="K54">
        <v>10.665425350974299</v>
      </c>
      <c r="N54" s="1">
        <v>44404.75</v>
      </c>
      <c r="O54">
        <v>3.2719374947112998</v>
      </c>
      <c r="Q54">
        <v>4.6500000000000004</v>
      </c>
      <c r="R54">
        <f t="shared" si="0"/>
        <v>-7.5203298447163149</v>
      </c>
      <c r="S54">
        <v>72.6084135934926</v>
      </c>
      <c r="T54">
        <v>0.24859196</v>
      </c>
      <c r="U54">
        <v>28.125</v>
      </c>
    </row>
    <row r="55" spans="1:21" x14ac:dyDescent="0.25">
      <c r="A55">
        <v>2120902</v>
      </c>
      <c r="B55">
        <v>686.5</v>
      </c>
      <c r="C55">
        <v>17.370966884601</v>
      </c>
      <c r="D55">
        <v>0.16571538</v>
      </c>
      <c r="E55">
        <v>3.8627584000000001</v>
      </c>
      <c r="F55">
        <v>19.982291722105799</v>
      </c>
      <c r="G55">
        <v>25.112256776983202</v>
      </c>
      <c r="H55">
        <v>-8.6995102175747505E-2</v>
      </c>
      <c r="I55">
        <v>3.0446410203661798</v>
      </c>
      <c r="J55">
        <v>0.61747103999999997</v>
      </c>
      <c r="K55">
        <v>2.1995841251409902</v>
      </c>
      <c r="L55">
        <v>0.71069603999999997</v>
      </c>
      <c r="M55">
        <v>8.4854946000000009</v>
      </c>
      <c r="N55" s="1">
        <v>44405.25</v>
      </c>
      <c r="O55">
        <v>1.07184159309508</v>
      </c>
      <c r="P55">
        <v>15.242869000000001</v>
      </c>
      <c r="Q55">
        <v>4.7430000000000003</v>
      </c>
      <c r="R55">
        <f t="shared" si="0"/>
        <v>-12.241001829723601</v>
      </c>
      <c r="S55">
        <v>19.462049004441301</v>
      </c>
      <c r="T55">
        <v>0.46573587999999999</v>
      </c>
      <c r="U55">
        <v>13.964</v>
      </c>
    </row>
    <row r="56" spans="1:21" x14ac:dyDescent="0.25">
      <c r="A56">
        <v>2121104</v>
      </c>
      <c r="B56">
        <v>648.75</v>
      </c>
      <c r="C56">
        <v>32.828363365757703</v>
      </c>
      <c r="E56">
        <v>4.0899796000000004</v>
      </c>
      <c r="F56">
        <v>23.127204462873099</v>
      </c>
      <c r="G56">
        <v>49.448417318033101</v>
      </c>
      <c r="H56">
        <v>4.3497551087873697E-2</v>
      </c>
      <c r="I56">
        <v>1.9749022834807599</v>
      </c>
      <c r="J56">
        <v>0.48948613000000002</v>
      </c>
      <c r="K56">
        <v>2.4809262806822798</v>
      </c>
      <c r="M56">
        <v>8.5077075999999998</v>
      </c>
      <c r="N56" s="1">
        <v>44407.25</v>
      </c>
      <c r="O56">
        <v>1.3539051702253599</v>
      </c>
      <c r="P56">
        <v>3.3703677999999999</v>
      </c>
      <c r="Q56">
        <v>4.8449999999999998</v>
      </c>
      <c r="R56">
        <f t="shared" si="0"/>
        <v>-6.5071505105977039</v>
      </c>
      <c r="S56">
        <v>15.1704176855132</v>
      </c>
      <c r="T56">
        <v>0.57722253000000001</v>
      </c>
      <c r="U56">
        <v>15.577999999999999</v>
      </c>
    </row>
    <row r="57" spans="1:21" x14ac:dyDescent="0.25">
      <c r="A57">
        <v>2121101</v>
      </c>
      <c r="B57">
        <v>124.75</v>
      </c>
      <c r="C57">
        <v>8.3771859884122595</v>
      </c>
      <c r="E57">
        <v>1.5905476000000001</v>
      </c>
      <c r="F57">
        <v>4.2577280182695203</v>
      </c>
      <c r="G57">
        <v>5.3218027606851797</v>
      </c>
      <c r="H57">
        <v>8.6995102175747505E-2</v>
      </c>
      <c r="I57">
        <v>0.32915038058012702</v>
      </c>
      <c r="K57">
        <v>0.35807183432527701</v>
      </c>
      <c r="M57">
        <v>4.8869343000000001</v>
      </c>
      <c r="N57" s="1">
        <v>44407.75</v>
      </c>
      <c r="O57">
        <v>0.56412715426057003</v>
      </c>
      <c r="P57">
        <v>1.6885711999999999</v>
      </c>
      <c r="Q57">
        <v>5.4770000000000003</v>
      </c>
      <c r="R57">
        <f t="shared" si="0"/>
        <v>-7.3131112459965992</v>
      </c>
      <c r="S57">
        <v>7.8846249812864899</v>
      </c>
      <c r="T57">
        <v>0.57901108000000001</v>
      </c>
      <c r="U57">
        <v>3.8</v>
      </c>
    </row>
    <row r="58" spans="1:21" x14ac:dyDescent="0.25">
      <c r="A58">
        <v>2121202</v>
      </c>
      <c r="B58">
        <v>303.83333333333297</v>
      </c>
      <c r="C58">
        <v>45.500451815234101</v>
      </c>
      <c r="E58">
        <v>1.8177687</v>
      </c>
      <c r="F58">
        <v>11.2087915632474</v>
      </c>
      <c r="G58">
        <v>41.742890404124402</v>
      </c>
      <c r="H58">
        <v>9.1344857284534804</v>
      </c>
      <c r="I58">
        <v>5.7601316601522301</v>
      </c>
      <c r="K58">
        <v>1.40671077770644</v>
      </c>
      <c r="M58">
        <v>9.0186147999999999</v>
      </c>
      <c r="N58" s="1">
        <v>44408.25</v>
      </c>
      <c r="O58">
        <v>6.9951767128310696</v>
      </c>
      <c r="P58">
        <v>1.7613983</v>
      </c>
      <c r="Q58">
        <v>6.0309999999999997</v>
      </c>
      <c r="R58">
        <f t="shared" si="0"/>
        <v>-14.9663529743571</v>
      </c>
      <c r="S58">
        <v>32.885872548530301</v>
      </c>
      <c r="T58">
        <v>0.2533243</v>
      </c>
      <c r="U58">
        <v>12.919</v>
      </c>
    </row>
    <row r="59" spans="1:21" x14ac:dyDescent="0.25">
      <c r="A59">
        <v>2121203</v>
      </c>
      <c r="C59">
        <v>40.737787699994598</v>
      </c>
      <c r="F59">
        <v>9.88631543636067</v>
      </c>
      <c r="G59">
        <v>21.231775597316901</v>
      </c>
      <c r="H59">
        <v>5.8286718457750801</v>
      </c>
      <c r="I59">
        <v>10.121374202838901</v>
      </c>
      <c r="K59">
        <v>4.2201323331193397</v>
      </c>
      <c r="N59" s="1">
        <v>44408.75</v>
      </c>
      <c r="O59">
        <v>6.0079541928750704</v>
      </c>
      <c r="Q59">
        <v>6.33</v>
      </c>
      <c r="R59">
        <f t="shared" si="0"/>
        <v>-29.392327539038366</v>
      </c>
      <c r="S59">
        <v>66.520285443385305</v>
      </c>
      <c r="T59">
        <v>0.12139063</v>
      </c>
    </row>
    <row r="60" spans="1:21" x14ac:dyDescent="0.25">
      <c r="A60">
        <v>2121304</v>
      </c>
      <c r="C60">
        <v>24.238558443629401</v>
      </c>
      <c r="F60">
        <v>29.771840612596701</v>
      </c>
      <c r="G60">
        <v>64.2496812461888</v>
      </c>
      <c r="H60">
        <v>5.1327110283691004</v>
      </c>
      <c r="I60">
        <v>8.9693478708084697</v>
      </c>
      <c r="K60">
        <v>4.1178260947406899</v>
      </c>
      <c r="N60" s="1">
        <v>44409.25</v>
      </c>
      <c r="O60">
        <v>5.6130651848926698</v>
      </c>
      <c r="Q60">
        <v>6.4139999999999997</v>
      </c>
      <c r="R60">
        <f t="shared" si="0"/>
        <v>10.239282189962694</v>
      </c>
      <c r="S60">
        <v>62.029043365437403</v>
      </c>
      <c r="T60">
        <v>0.16968426</v>
      </c>
    </row>
    <row r="61" spans="1:21" x14ac:dyDescent="0.25">
      <c r="A61">
        <v>2121406</v>
      </c>
      <c r="B61">
        <v>410.666666666666</v>
      </c>
      <c r="C61">
        <v>16.350396002764001</v>
      </c>
      <c r="F61">
        <v>15.982607826155601</v>
      </c>
      <c r="G61">
        <v>17.184988081379199</v>
      </c>
      <c r="H61">
        <v>1.69640449242707</v>
      </c>
      <c r="I61">
        <v>5.9247068504422904</v>
      </c>
      <c r="K61">
        <v>3.65744802203676</v>
      </c>
      <c r="N61" s="1">
        <v>44410.25</v>
      </c>
      <c r="O61">
        <v>1.9180323244859301</v>
      </c>
      <c r="Q61">
        <v>6.351</v>
      </c>
      <c r="R61">
        <f t="shared" si="0"/>
        <v>-15.148015747540402</v>
      </c>
      <c r="S61">
        <v>54.294126453415799</v>
      </c>
      <c r="T61">
        <v>0.65782618999999998</v>
      </c>
    </row>
    <row r="62" spans="1:21" x14ac:dyDescent="0.25">
      <c r="A62">
        <v>2121401</v>
      </c>
      <c r="B62">
        <v>382.166666666666</v>
      </c>
      <c r="C62">
        <v>13.2886833572529</v>
      </c>
      <c r="D62">
        <v>0.17585644</v>
      </c>
      <c r="E62">
        <v>2.0449898000000002</v>
      </c>
      <c r="F62">
        <v>10.241126104549799</v>
      </c>
      <c r="G62">
        <v>11.6968789844226</v>
      </c>
      <c r="H62">
        <v>0.73945836849385305</v>
      </c>
      <c r="I62">
        <v>0</v>
      </c>
      <c r="K62">
        <v>0.920756145407856</v>
      </c>
      <c r="M62">
        <v>7.5969610000000003</v>
      </c>
      <c r="N62" s="1">
        <v>44410.75</v>
      </c>
      <c r="O62">
        <v>0.95901616224296904</v>
      </c>
      <c r="P62">
        <v>2.5235417</v>
      </c>
      <c r="Q62">
        <v>5.2240000000000002</v>
      </c>
      <c r="R62">
        <f t="shared" si="0"/>
        <v>-11.832930477380099</v>
      </c>
      <c r="S62">
        <v>5.63900394231249</v>
      </c>
      <c r="T62">
        <v>0.66020489000000004</v>
      </c>
      <c r="U62">
        <v>7.1150000000000002</v>
      </c>
    </row>
    <row r="63" spans="1:21" x14ac:dyDescent="0.25">
      <c r="A63">
        <v>2122301</v>
      </c>
      <c r="B63">
        <v>465.666666666666</v>
      </c>
      <c r="C63">
        <v>54.047732950619199</v>
      </c>
      <c r="E63">
        <v>4.7716427000000001</v>
      </c>
      <c r="F63">
        <v>44.028778370741598</v>
      </c>
      <c r="G63">
        <v>106.934974222517</v>
      </c>
      <c r="H63">
        <v>6.1766522544780704</v>
      </c>
      <c r="I63">
        <v>3.3737914009462999</v>
      </c>
      <c r="J63">
        <v>0.34578379999999997</v>
      </c>
      <c r="K63">
        <v>3.4528355452794601</v>
      </c>
      <c r="M63">
        <v>7.9301614999999996</v>
      </c>
      <c r="N63" s="1">
        <v>44419.75</v>
      </c>
      <c r="O63">
        <v>2.8770484867289001</v>
      </c>
      <c r="P63">
        <v>6.7746085999999996</v>
      </c>
      <c r="Q63">
        <v>5.6849999999999996</v>
      </c>
      <c r="R63">
        <f t="shared" si="0"/>
        <v>8.8584629011562015</v>
      </c>
      <c r="S63">
        <v>17.416038724487201</v>
      </c>
      <c r="T63">
        <v>0.63691430999999998</v>
      </c>
      <c r="U63">
        <v>20.318000000000001</v>
      </c>
    </row>
    <row r="64" spans="1:21" x14ac:dyDescent="0.25">
      <c r="A64">
        <v>2122402</v>
      </c>
      <c r="B64">
        <v>703.25</v>
      </c>
      <c r="C64">
        <v>91.766331791846</v>
      </c>
      <c r="E64">
        <v>3.4083163999999999</v>
      </c>
      <c r="F64">
        <v>60.995179413239903</v>
      </c>
      <c r="G64">
        <v>126.004767448306</v>
      </c>
      <c r="H64">
        <v>18.181976354731201</v>
      </c>
      <c r="I64">
        <v>10.285949393128901</v>
      </c>
      <c r="J64">
        <v>0.52653444000000005</v>
      </c>
      <c r="K64">
        <v>4.7572400846072496</v>
      </c>
      <c r="L64">
        <v>0.62031846999999996</v>
      </c>
      <c r="M64">
        <v>9.1296815999999996</v>
      </c>
      <c r="N64" s="1">
        <v>44420.75</v>
      </c>
      <c r="O64">
        <v>7.44647843623952</v>
      </c>
      <c r="P64">
        <v>10.161913</v>
      </c>
      <c r="Q64">
        <v>5.6429999999999998</v>
      </c>
      <c r="R64">
        <f t="shared" si="0"/>
        <v>-26.756743756779898</v>
      </c>
      <c r="S64">
        <v>47.108139128699001</v>
      </c>
      <c r="T64">
        <v>0.43901997999999998</v>
      </c>
      <c r="U64">
        <v>29.201000000000001</v>
      </c>
    </row>
    <row r="65" spans="1:21" x14ac:dyDescent="0.25">
      <c r="A65">
        <v>2122503</v>
      </c>
      <c r="B65">
        <v>765.08333333333303</v>
      </c>
      <c r="C65">
        <v>110.200393345027</v>
      </c>
      <c r="E65">
        <v>4.5444217</v>
      </c>
      <c r="F65">
        <v>134.328093424874</v>
      </c>
      <c r="G65">
        <v>226.67553633793401</v>
      </c>
      <c r="H65">
        <v>14.049709001383199</v>
      </c>
      <c r="I65">
        <v>12.343139271754699</v>
      </c>
      <c r="K65">
        <v>6.7010586138016199</v>
      </c>
      <c r="L65">
        <v>0.69700247000000004</v>
      </c>
      <c r="M65">
        <v>9.4406680999999999</v>
      </c>
      <c r="N65" s="1">
        <v>44421.25</v>
      </c>
      <c r="O65">
        <v>5.8951287620229502</v>
      </c>
      <c r="P65">
        <v>11.855565</v>
      </c>
      <c r="Q65">
        <v>5.9290000000000003</v>
      </c>
      <c r="R65">
        <f t="shared" si="0"/>
        <v>-17.852950431967002</v>
      </c>
      <c r="S65">
        <v>66.170966615100497</v>
      </c>
      <c r="T65">
        <v>0.34732202000000001</v>
      </c>
      <c r="U65">
        <v>44.698999999999998</v>
      </c>
    </row>
    <row r="66" spans="1:21" x14ac:dyDescent="0.25">
      <c r="A66">
        <v>2122602</v>
      </c>
      <c r="B66">
        <v>560.41666666666595</v>
      </c>
      <c r="C66">
        <v>68.123106362621598</v>
      </c>
      <c r="D66">
        <v>0.18181681999999999</v>
      </c>
      <c r="E66">
        <v>4.5444217</v>
      </c>
      <c r="F66">
        <v>83.251484963285094</v>
      </c>
      <c r="G66">
        <v>160.48561450191201</v>
      </c>
      <c r="H66">
        <v>10.2219245056503</v>
      </c>
      <c r="I66">
        <v>10.368236988274001</v>
      </c>
      <c r="K66">
        <v>3.9387901775780501</v>
      </c>
      <c r="M66">
        <v>7.9079480000000002</v>
      </c>
      <c r="N66" s="1">
        <v>44422.25</v>
      </c>
      <c r="O66">
        <v>5.0489380306321001</v>
      </c>
      <c r="P66">
        <v>4.1663842000000004</v>
      </c>
      <c r="Q66">
        <v>6.6059999999999999</v>
      </c>
      <c r="R66">
        <f t="shared" si="0"/>
        <v>9.1110231760053182</v>
      </c>
      <c r="S66">
        <v>74.953840011976595</v>
      </c>
      <c r="T66">
        <v>0.66396122999999996</v>
      </c>
      <c r="U66">
        <v>33.204999999999998</v>
      </c>
    </row>
    <row r="67" spans="1:21" x14ac:dyDescent="0.25">
      <c r="A67">
        <v>2122603</v>
      </c>
      <c r="B67">
        <v>377.75</v>
      </c>
      <c r="C67">
        <v>42.438739169723</v>
      </c>
      <c r="E67">
        <v>2.4994318</v>
      </c>
      <c r="F67">
        <v>44.980316071794299</v>
      </c>
      <c r="G67">
        <v>90.581517822495698</v>
      </c>
      <c r="H67">
        <v>6.91611062297192</v>
      </c>
      <c r="I67">
        <v>9.1339230610985407</v>
      </c>
      <c r="J67">
        <v>0.39967215</v>
      </c>
      <c r="K67">
        <v>3.68302458163142</v>
      </c>
      <c r="L67">
        <v>0.66961539000000003</v>
      </c>
      <c r="M67">
        <v>5.9976010000000004</v>
      </c>
      <c r="N67" s="1">
        <v>44422.75</v>
      </c>
      <c r="O67">
        <v>2.3411276901813598</v>
      </c>
      <c r="P67">
        <v>5.0809565000000001</v>
      </c>
      <c r="Q67">
        <v>6.5540000000000003</v>
      </c>
      <c r="R67">
        <f t="shared" ref="R67:R84" si="1">G67-(F67+C67)</f>
        <v>3.1624625809783993</v>
      </c>
      <c r="S67">
        <v>48.405609062328402</v>
      </c>
      <c r="T67">
        <v>0.47873089000000002</v>
      </c>
      <c r="U67">
        <v>21.061</v>
      </c>
    </row>
    <row r="68" spans="1:21" x14ac:dyDescent="0.25">
      <c r="A68">
        <v>2122902</v>
      </c>
      <c r="B68">
        <v>2206.3333333333298</v>
      </c>
      <c r="C68">
        <v>68.484558549938797</v>
      </c>
      <c r="E68">
        <v>14.542149999999999</v>
      </c>
      <c r="F68">
        <v>181.21148489877399</v>
      </c>
      <c r="G68">
        <v>214.646044680969</v>
      </c>
      <c r="H68">
        <v>21.531287788497501</v>
      </c>
      <c r="I68">
        <v>35.136803126928598</v>
      </c>
      <c r="K68">
        <v>7.1358601269108801</v>
      </c>
      <c r="L68">
        <v>0.57649910000000004</v>
      </c>
      <c r="M68">
        <v>8.4854946000000009</v>
      </c>
      <c r="N68" s="1">
        <v>44425.25</v>
      </c>
      <c r="O68">
        <v>17.5725608552167</v>
      </c>
      <c r="P68">
        <v>9.9078654999999998</v>
      </c>
      <c r="Q68">
        <v>5.7889999999999997</v>
      </c>
      <c r="R68">
        <f t="shared" si="1"/>
        <v>-35.049998767743773</v>
      </c>
      <c r="S68">
        <v>127.002345426418</v>
      </c>
      <c r="T68">
        <v>0.22299010999999999</v>
      </c>
      <c r="U68">
        <v>50.965000000000003</v>
      </c>
    </row>
    <row r="69" spans="1:21" x14ac:dyDescent="0.25">
      <c r="A69">
        <v>2122903</v>
      </c>
      <c r="B69">
        <v>266</v>
      </c>
      <c r="C69">
        <v>14.2029447722319</v>
      </c>
      <c r="D69">
        <v>0.31344910999999998</v>
      </c>
      <c r="E69">
        <v>2.0449898000000002</v>
      </c>
      <c r="F69">
        <v>22.6594994911692</v>
      </c>
      <c r="G69">
        <v>25.333998558678399</v>
      </c>
      <c r="H69">
        <v>1.6529069413391999</v>
      </c>
      <c r="I69">
        <v>4.4435301378317202</v>
      </c>
      <c r="K69">
        <v>1.53459357567976</v>
      </c>
      <c r="L69">
        <v>0.92979312000000003</v>
      </c>
      <c r="M69">
        <v>6.8639212000000001</v>
      </c>
      <c r="N69" s="1">
        <v>44425.75</v>
      </c>
      <c r="O69">
        <v>1.6359687473556499</v>
      </c>
      <c r="P69">
        <v>1.7783348999999999</v>
      </c>
      <c r="Q69">
        <v>5.7140000000000004</v>
      </c>
      <c r="R69">
        <f t="shared" si="1"/>
        <v>-11.528445704722703</v>
      </c>
      <c r="S69">
        <v>23.6538749438594</v>
      </c>
      <c r="T69">
        <v>0.67164659999999998</v>
      </c>
      <c r="U69">
        <v>8.69</v>
      </c>
    </row>
    <row r="70" spans="1:21" x14ac:dyDescent="0.25">
      <c r="A70">
        <v>2123004</v>
      </c>
      <c r="B70">
        <v>77.8333333333333</v>
      </c>
      <c r="C70">
        <v>8.6535906022431206</v>
      </c>
      <c r="F70">
        <v>9.2250773729172995</v>
      </c>
      <c r="G70">
        <v>6.0424635511946301</v>
      </c>
      <c r="H70">
        <v>0.130492653263621</v>
      </c>
      <c r="I70">
        <v>0.822875951450319</v>
      </c>
      <c r="K70">
        <v>0.71614366865055501</v>
      </c>
      <c r="M70">
        <v>5.2867742</v>
      </c>
      <c r="N70" s="1">
        <v>44426.25</v>
      </c>
      <c r="O70">
        <v>0.84619073139085499</v>
      </c>
      <c r="P70">
        <v>0.92981504999999998</v>
      </c>
      <c r="Q70">
        <v>5.7770000000000001</v>
      </c>
      <c r="R70">
        <f t="shared" si="1"/>
        <v>-11.836204423965789</v>
      </c>
      <c r="S70">
        <v>11.02849443585</v>
      </c>
      <c r="T70">
        <v>0.81978488000000005</v>
      </c>
      <c r="U70">
        <v>4.2690000000000001</v>
      </c>
    </row>
    <row r="71" spans="1:21" x14ac:dyDescent="0.25">
      <c r="A71">
        <v>2123001</v>
      </c>
      <c r="B71">
        <v>177.5</v>
      </c>
      <c r="C71">
        <v>26.917557008451599</v>
      </c>
      <c r="D71">
        <v>0.16901313000000001</v>
      </c>
      <c r="F71">
        <v>22.740138279393999</v>
      </c>
      <c r="G71">
        <v>20.289373025112202</v>
      </c>
      <c r="H71">
        <v>0.21748775543936799</v>
      </c>
      <c r="I71">
        <v>1.3166015223205101</v>
      </c>
      <c r="K71">
        <v>0.97190926459718197</v>
      </c>
      <c r="L71">
        <v>0.51487802999999999</v>
      </c>
      <c r="M71">
        <v>4.9313606999999999</v>
      </c>
      <c r="N71" s="1">
        <v>44426.75</v>
      </c>
      <c r="O71">
        <v>1.3256988125123399</v>
      </c>
      <c r="P71">
        <v>1.6546981000000001</v>
      </c>
      <c r="Q71">
        <v>5.1360000000000001</v>
      </c>
      <c r="R71">
        <f t="shared" si="1"/>
        <v>-29.368322262733397</v>
      </c>
      <c r="S71">
        <v>12.126353610459599</v>
      </c>
      <c r="T71">
        <v>0.54276943</v>
      </c>
      <c r="U71">
        <v>9.6630000000000003</v>
      </c>
    </row>
    <row r="72" spans="1:21" x14ac:dyDescent="0.25">
      <c r="A72">
        <v>2123103</v>
      </c>
      <c r="B72">
        <v>174.833333333333</v>
      </c>
      <c r="C72">
        <v>8.7386381757295393</v>
      </c>
      <c r="F72">
        <v>6.8865525143980504</v>
      </c>
      <c r="G72">
        <v>10.4218637396751</v>
      </c>
      <c r="H72">
        <v>0.521970613054485</v>
      </c>
      <c r="I72">
        <v>0.16457519029006301</v>
      </c>
      <c r="J72">
        <v>0.38732274999999999</v>
      </c>
      <c r="K72">
        <v>3.8620604987940599</v>
      </c>
      <c r="M72">
        <v>5.6866139999999996</v>
      </c>
      <c r="N72" s="1">
        <v>44427.75</v>
      </c>
      <c r="O72">
        <v>1.07184159309508</v>
      </c>
      <c r="P72">
        <v>1.6479235999999999</v>
      </c>
      <c r="Q72">
        <v>5.7770000000000001</v>
      </c>
      <c r="R72">
        <f t="shared" si="1"/>
        <v>-5.2033269504524888</v>
      </c>
      <c r="S72">
        <v>6.0382254603523098</v>
      </c>
      <c r="T72">
        <v>0.54810064999999997</v>
      </c>
      <c r="U72">
        <v>4.4720000000000004</v>
      </c>
    </row>
    <row r="73" spans="1:21" x14ac:dyDescent="0.25">
      <c r="A73">
        <v>2123204</v>
      </c>
      <c r="B73">
        <v>180.166666666666</v>
      </c>
      <c r="C73">
        <v>24.0259395099133</v>
      </c>
      <c r="E73">
        <v>1.8177687</v>
      </c>
      <c r="F73">
        <v>32.191004259340701</v>
      </c>
      <c r="G73">
        <v>49.559288208880702</v>
      </c>
      <c r="H73">
        <v>3.1753212294147799</v>
      </c>
      <c r="I73">
        <v>1.15202633203044</v>
      </c>
      <c r="J73">
        <v>0.34466111999999999</v>
      </c>
      <c r="K73">
        <v>1.6880529332477301</v>
      </c>
      <c r="L73">
        <v>0.53267973999999996</v>
      </c>
      <c r="M73">
        <v>6.5307212000000003</v>
      </c>
      <c r="N73" s="1">
        <v>44428.25</v>
      </c>
      <c r="O73">
        <v>3.6104137872676501</v>
      </c>
      <c r="P73">
        <v>1.5463045</v>
      </c>
      <c r="Q73">
        <v>5.7629999999999999</v>
      </c>
      <c r="R73">
        <f t="shared" si="1"/>
        <v>-6.6576555603732999</v>
      </c>
      <c r="S73">
        <v>9.28190029442586</v>
      </c>
      <c r="T73">
        <v>0.54631722000000005</v>
      </c>
      <c r="U73">
        <v>11.179</v>
      </c>
    </row>
    <row r="74" spans="1:21" x14ac:dyDescent="0.25">
      <c r="A74">
        <v>2123201</v>
      </c>
      <c r="B74">
        <v>246.25</v>
      </c>
      <c r="C74">
        <v>23.983415723170101</v>
      </c>
      <c r="F74">
        <v>30.304056614880398</v>
      </c>
      <c r="G74">
        <v>57.098508786518103</v>
      </c>
      <c r="H74">
        <v>0.56546816414235801</v>
      </c>
      <c r="I74">
        <v>1.5634643077556001</v>
      </c>
      <c r="K74">
        <v>0.86960302621853103</v>
      </c>
      <c r="N74" s="1">
        <v>44428.75</v>
      </c>
      <c r="O74">
        <v>1.52314331650354</v>
      </c>
      <c r="Q74">
        <v>6.3490000000000002</v>
      </c>
      <c r="R74">
        <f t="shared" si="1"/>
        <v>2.811036448467604</v>
      </c>
      <c r="S74">
        <v>23.5041668745945</v>
      </c>
      <c r="T74">
        <v>0.60496163000000003</v>
      </c>
    </row>
    <row r="75" spans="1:21" x14ac:dyDescent="0.25">
      <c r="A75">
        <v>2123501</v>
      </c>
      <c r="B75">
        <v>272.33333333333297</v>
      </c>
      <c r="C75">
        <v>16.180300855791199</v>
      </c>
      <c r="F75">
        <v>25.788284474291501</v>
      </c>
      <c r="G75">
        <v>21.786130051554899</v>
      </c>
      <c r="H75">
        <v>2.3053702076573002</v>
      </c>
      <c r="I75">
        <v>2.0571898786257901</v>
      </c>
      <c r="K75">
        <v>3.6318714624421</v>
      </c>
      <c r="N75" s="1">
        <v>44431.75</v>
      </c>
      <c r="O75">
        <v>3.4129692832764502</v>
      </c>
      <c r="Q75">
        <v>5.7080000000000002</v>
      </c>
      <c r="R75">
        <f t="shared" si="1"/>
        <v>-20.182455278527804</v>
      </c>
      <c r="S75">
        <v>16.7174010679175</v>
      </c>
      <c r="T75">
        <v>0.31657875000000002</v>
      </c>
      <c r="U75">
        <v>8.9890000000000008</v>
      </c>
    </row>
    <row r="76" spans="1:21" x14ac:dyDescent="0.25">
      <c r="A76">
        <v>2123602</v>
      </c>
      <c r="B76">
        <v>325.25</v>
      </c>
      <c r="C76">
        <v>24.281082230372601</v>
      </c>
      <c r="F76">
        <v>28.2880869092604</v>
      </c>
      <c r="G76">
        <v>28.216641720716201</v>
      </c>
      <c r="H76">
        <v>6.5246326631810598</v>
      </c>
      <c r="I76">
        <v>2.8800658300761102</v>
      </c>
      <c r="K76">
        <v>2.5320793998715998</v>
      </c>
      <c r="N76" s="1">
        <v>44432.25</v>
      </c>
      <c r="O76">
        <v>4.5976363072236399</v>
      </c>
      <c r="Q76">
        <v>5.484</v>
      </c>
      <c r="R76">
        <f t="shared" si="1"/>
        <v>-24.352527418916804</v>
      </c>
      <c r="S76">
        <v>17.715454863017101</v>
      </c>
      <c r="T76">
        <v>0.58859527</v>
      </c>
      <c r="U76">
        <v>10.881</v>
      </c>
    </row>
    <row r="77" spans="1:21" x14ac:dyDescent="0.25">
      <c r="A77">
        <v>2123601</v>
      </c>
      <c r="B77">
        <v>322.25</v>
      </c>
      <c r="C77">
        <v>32.637006325413203</v>
      </c>
      <c r="D77">
        <v>0.17286164000000001</v>
      </c>
      <c r="E77">
        <v>3.1810950999999998</v>
      </c>
      <c r="F77">
        <v>26.239861688350398</v>
      </c>
      <c r="G77">
        <v>38.4167636786961</v>
      </c>
      <c r="H77">
        <v>2.0443849011300599</v>
      </c>
      <c r="I77">
        <v>4.6081053281217796</v>
      </c>
      <c r="K77">
        <v>2.0717013271676699</v>
      </c>
      <c r="M77">
        <v>10.506907999999999</v>
      </c>
      <c r="N77" s="1">
        <v>44432.75</v>
      </c>
      <c r="O77">
        <v>2.5103658364595298</v>
      </c>
      <c r="P77">
        <v>5.3180680000000002</v>
      </c>
      <c r="Q77">
        <v>4.944</v>
      </c>
      <c r="R77">
        <f t="shared" si="1"/>
        <v>-20.460104335067498</v>
      </c>
      <c r="S77">
        <v>26.797744398422999</v>
      </c>
      <c r="T77">
        <v>0.73434657000000003</v>
      </c>
      <c r="U77">
        <v>15.348000000000001</v>
      </c>
    </row>
    <row r="78" spans="1:21" x14ac:dyDescent="0.25">
      <c r="A78">
        <v>2123702</v>
      </c>
      <c r="B78">
        <v>547.41666666666595</v>
      </c>
      <c r="C78">
        <v>28.5972465848083</v>
      </c>
      <c r="F78">
        <v>22.111155731240601</v>
      </c>
      <c r="G78">
        <v>37.2526193247962</v>
      </c>
      <c r="H78">
        <v>3.2188187805026498</v>
      </c>
      <c r="I78">
        <v>5.5132688747171299</v>
      </c>
      <c r="K78">
        <v>6.6243289350176298</v>
      </c>
      <c r="N78" s="1">
        <v>44433.25</v>
      </c>
      <c r="O78">
        <v>4.0617155106761</v>
      </c>
      <c r="Q78">
        <v>5.7439999999999998</v>
      </c>
      <c r="R78">
        <f t="shared" si="1"/>
        <v>-13.455782991252704</v>
      </c>
      <c r="S78">
        <v>46.459404161884301</v>
      </c>
      <c r="T78">
        <v>0.16545755000000001</v>
      </c>
    </row>
    <row r="79" spans="1:21" x14ac:dyDescent="0.25">
      <c r="A79">
        <v>2123804</v>
      </c>
      <c r="B79">
        <v>692.66666666666595</v>
      </c>
      <c r="C79">
        <v>312.80497528304898</v>
      </c>
      <c r="E79">
        <v>13.178823</v>
      </c>
      <c r="F79">
        <v>374.260743908949</v>
      </c>
      <c r="G79">
        <v>493.87438328066901</v>
      </c>
      <c r="H79">
        <v>55.676865392478398</v>
      </c>
      <c r="I79">
        <v>48.4673935404237</v>
      </c>
      <c r="J79">
        <v>0.54561985000000002</v>
      </c>
      <c r="K79">
        <v>12.941739154899301</v>
      </c>
      <c r="L79">
        <v>0.52309424000000004</v>
      </c>
      <c r="M79">
        <v>3.6874139000000001</v>
      </c>
      <c r="N79" s="1">
        <v>44434.25</v>
      </c>
      <c r="O79">
        <v>36.499026880658903</v>
      </c>
      <c r="P79">
        <v>20.323826</v>
      </c>
      <c r="Q79">
        <v>6.21</v>
      </c>
      <c r="R79">
        <f t="shared" si="1"/>
        <v>-193.19133591132891</v>
      </c>
      <c r="S79">
        <v>233.99371226109</v>
      </c>
      <c r="T79">
        <v>0.33491381999999997</v>
      </c>
      <c r="U79">
        <v>109.33</v>
      </c>
    </row>
    <row r="80" spans="1:21" x14ac:dyDescent="0.25">
      <c r="A80">
        <v>2123801</v>
      </c>
      <c r="B80">
        <v>1682.4166666666599</v>
      </c>
      <c r="C80">
        <v>176.40992930420401</v>
      </c>
      <c r="F80">
        <v>224.46613090255701</v>
      </c>
      <c r="G80">
        <v>257.99656300238303</v>
      </c>
      <c r="H80">
        <v>29.273851882138999</v>
      </c>
      <c r="I80">
        <v>31.5161489405472</v>
      </c>
      <c r="K80">
        <v>6.2406805410976904</v>
      </c>
      <c r="N80" s="1">
        <v>44434.75</v>
      </c>
      <c r="O80">
        <v>19.688037683693899</v>
      </c>
      <c r="Q80">
        <v>6.7039999999999997</v>
      </c>
      <c r="R80">
        <f t="shared" si="1"/>
        <v>-142.87949720437803</v>
      </c>
      <c r="S80">
        <v>179.05085084085999</v>
      </c>
      <c r="T80">
        <v>0.1305038</v>
      </c>
      <c r="U80">
        <v>73.239000000000004</v>
      </c>
    </row>
    <row r="81" spans="1:21" x14ac:dyDescent="0.25">
      <c r="A81">
        <v>2123902</v>
      </c>
      <c r="B81">
        <v>745.83333333333303</v>
      </c>
      <c r="C81">
        <v>146.89842130441701</v>
      </c>
      <c r="E81">
        <v>3.8627584000000001</v>
      </c>
      <c r="F81">
        <v>153.665274841181</v>
      </c>
      <c r="G81">
        <v>256.88785409390698</v>
      </c>
      <c r="H81">
        <v>17.8339959460282</v>
      </c>
      <c r="I81">
        <v>28.553795515326001</v>
      </c>
      <c r="J81">
        <v>0.32445297000000001</v>
      </c>
      <c r="K81">
        <v>6.8033648521802697</v>
      </c>
      <c r="L81">
        <v>0.86817204999999997</v>
      </c>
      <c r="M81">
        <v>8.0412283000000002</v>
      </c>
      <c r="N81" s="1">
        <v>44435.25</v>
      </c>
      <c r="O81">
        <v>10.379939638394401</v>
      </c>
      <c r="P81">
        <v>10.161913</v>
      </c>
      <c r="Q81">
        <v>6.8010000000000002</v>
      </c>
      <c r="R81">
        <f t="shared" si="1"/>
        <v>-43.675842051691006</v>
      </c>
      <c r="S81">
        <v>132.04251709167099</v>
      </c>
      <c r="T81">
        <v>0.57987719999999998</v>
      </c>
      <c r="U81">
        <v>57.506999999999998</v>
      </c>
    </row>
    <row r="82" spans="1:21" x14ac:dyDescent="0.25">
      <c r="A82">
        <v>2124301</v>
      </c>
      <c r="B82">
        <v>160.916666666666</v>
      </c>
      <c r="C82">
        <v>37.633551267740302</v>
      </c>
      <c r="F82">
        <v>21.2402568184127</v>
      </c>
      <c r="G82">
        <v>47.896224846166596</v>
      </c>
      <c r="H82">
        <v>3.5667991892056401</v>
      </c>
      <c r="I82">
        <v>3.1269286155112099</v>
      </c>
      <c r="K82">
        <v>2.0717013271676699</v>
      </c>
      <c r="N82" s="1">
        <v>44439.25</v>
      </c>
      <c r="O82">
        <v>2.7642230558767902</v>
      </c>
      <c r="Q82">
        <v>6.3220000000000001</v>
      </c>
      <c r="R82">
        <f t="shared" si="1"/>
        <v>-10.977583239986409</v>
      </c>
      <c r="S82">
        <v>31.8878187534308</v>
      </c>
      <c r="T82">
        <v>0.52032601999999994</v>
      </c>
      <c r="U82">
        <v>13.496</v>
      </c>
    </row>
    <row r="83" spans="1:21" x14ac:dyDescent="0.25">
      <c r="A83">
        <v>2124302</v>
      </c>
      <c r="B83">
        <v>312</v>
      </c>
      <c r="C83">
        <v>27.279009195768801</v>
      </c>
      <c r="F83">
        <v>29.804096127886599</v>
      </c>
      <c r="G83">
        <v>49.559288208880702</v>
      </c>
      <c r="H83">
        <v>0.95694612393322198</v>
      </c>
      <c r="I83">
        <v>4.8549681135568798</v>
      </c>
      <c r="K83">
        <v>2.63438563825025</v>
      </c>
      <c r="N83" s="1">
        <v>44439.75</v>
      </c>
      <c r="O83">
        <v>1.69238146278171</v>
      </c>
      <c r="Q83">
        <v>6.4660000000000002</v>
      </c>
      <c r="R83">
        <f t="shared" si="1"/>
        <v>-7.5238171147747011</v>
      </c>
      <c r="S83">
        <v>41.519037876141503</v>
      </c>
      <c r="T83">
        <v>0.67885499999999999</v>
      </c>
      <c r="U83">
        <v>14.535</v>
      </c>
    </row>
    <row r="84" spans="1:21" x14ac:dyDescent="0.25">
      <c r="A84">
        <v>2124403</v>
      </c>
      <c r="C84">
        <v>30.213150481050299</v>
      </c>
      <c r="F84">
        <v>22.482094157074599</v>
      </c>
      <c r="G84">
        <v>47.8407894007428</v>
      </c>
      <c r="H84">
        <v>1.04394122610897</v>
      </c>
      <c r="I84">
        <v>5.8424192552972602</v>
      </c>
      <c r="K84">
        <v>5.5245368724471398</v>
      </c>
      <c r="N84" s="1">
        <v>44440.25</v>
      </c>
      <c r="O84">
        <v>2.6513976250246798</v>
      </c>
      <c r="Q84">
        <v>6.5119999999999996</v>
      </c>
      <c r="R84">
        <f t="shared" si="1"/>
        <v>-4.8544552373820977</v>
      </c>
      <c r="S84">
        <v>87.130096312191199</v>
      </c>
      <c r="T84">
        <v>0.24931619999999999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Archana</dc:creator>
  <cp:lastModifiedBy>Tripathy, Archana</cp:lastModifiedBy>
  <dcterms:created xsi:type="dcterms:W3CDTF">2015-06-05T18:17:20Z</dcterms:created>
  <dcterms:modified xsi:type="dcterms:W3CDTF">2026-01-12T16:59:06Z</dcterms:modified>
</cp:coreProperties>
</file>